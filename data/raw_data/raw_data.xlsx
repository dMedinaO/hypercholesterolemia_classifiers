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1"/>
  <workbookPr/>
  <mc:AlternateContent xmlns:mc="http://schemas.openxmlformats.org/markup-compatibility/2006">
    <mc:Choice Requires="x15">
      <x15ac:absPath xmlns:x15ac="http://schemas.microsoft.com/office/spreadsheetml/2010/11/ac" url="/Users/ramonserra/Desktop/"/>
    </mc:Choice>
  </mc:AlternateContent>
  <xr:revisionPtr revIDLastSave="0" documentId="8_{DCE65A2F-DD3A-B642-93EC-5974C2A0D76F}" xr6:coauthVersionLast="45" xr6:coauthVersionMax="45" xr10:uidLastSave="{00000000-0000-0000-0000-000000000000}"/>
  <bookViews>
    <workbookView xWindow="3760" yWindow="460" windowWidth="21840" windowHeight="15540" activeTab="3" xr2:uid="{00000000-000D-0000-FFFF-FFFF00000000}"/>
  </bookViews>
  <sheets>
    <sheet name="Apos" sheetId="7" r:id="rId1"/>
    <sheet name="cohorte_and" sheetId="9" r:id="rId2"/>
    <sheet name="cohorte_rs" sheetId="8" r:id="rId3"/>
    <sheet name="Hoja1" sheetId="1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9" l="1"/>
  <c r="A4" i="9" s="1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N9" i="9"/>
  <c r="AT51" i="7" l="1"/>
  <c r="AT52" i="7"/>
  <c r="AT53" i="7"/>
  <c r="AT54" i="7"/>
  <c r="AT55" i="7"/>
  <c r="AT57" i="7"/>
  <c r="AT58" i="7"/>
  <c r="AT59" i="7"/>
  <c r="AT60" i="7"/>
  <c r="AT61" i="7"/>
  <c r="AT62" i="7"/>
  <c r="AT63" i="7"/>
  <c r="AT64" i="7"/>
  <c r="AT65" i="7"/>
  <c r="AT66" i="7"/>
  <c r="AT67" i="7"/>
  <c r="AT68" i="7"/>
  <c r="AT69" i="7"/>
  <c r="AT70" i="7"/>
  <c r="AT71" i="7"/>
  <c r="AT72" i="7"/>
  <c r="AT73" i="7"/>
  <c r="AT75" i="7"/>
  <c r="AT76" i="7"/>
  <c r="AT77" i="7"/>
  <c r="AT78" i="7"/>
  <c r="AT79" i="7"/>
  <c r="AT80" i="7"/>
  <c r="AT81" i="7"/>
  <c r="AT82" i="7"/>
  <c r="AT83" i="7"/>
  <c r="AT84" i="7"/>
  <c r="AT28" i="7"/>
  <c r="AT29" i="7"/>
  <c r="AT30" i="7"/>
  <c r="AT31" i="7"/>
  <c r="AT32" i="7"/>
  <c r="AT33" i="7"/>
  <c r="AT34" i="7"/>
  <c r="AT35" i="7"/>
  <c r="AT36" i="7"/>
  <c r="AT37" i="7"/>
  <c r="AT38" i="7"/>
  <c r="AT39" i="7"/>
  <c r="AT40" i="7"/>
  <c r="AT41" i="7"/>
  <c r="AT42" i="7"/>
  <c r="AT43" i="7"/>
  <c r="AT44" i="7"/>
  <c r="AT45" i="7"/>
  <c r="AT46" i="7"/>
  <c r="AT47" i="7"/>
  <c r="AT48" i="7"/>
  <c r="AT50" i="7"/>
  <c r="AT3" i="7"/>
  <c r="AT4" i="7"/>
  <c r="AT6" i="7"/>
  <c r="AT7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" i="7"/>
  <c r="AQ62" i="7"/>
  <c r="AE62" i="7"/>
  <c r="AD62" i="7"/>
  <c r="AQ60" i="7"/>
  <c r="AE60" i="7"/>
  <c r="AD60" i="7"/>
  <c r="AQ23" i="7"/>
  <c r="AE23" i="7"/>
  <c r="AD23" i="7"/>
  <c r="AQ21" i="7"/>
  <c r="AE21" i="7"/>
  <c r="AD21" i="7"/>
  <c r="AQ7" i="7"/>
  <c r="AE7" i="7"/>
  <c r="AD7" i="7"/>
  <c r="AQ33" i="7"/>
  <c r="AE33" i="7"/>
  <c r="AD33" i="7"/>
  <c r="AQ35" i="7"/>
  <c r="AE35" i="7"/>
  <c r="AD35" i="7"/>
  <c r="AQ37" i="7"/>
  <c r="AE37" i="7"/>
  <c r="AD37" i="7"/>
  <c r="AQ8" i="7"/>
  <c r="AE8" i="7"/>
  <c r="AD8" i="7"/>
  <c r="AQ26" i="7"/>
  <c r="AE26" i="7"/>
  <c r="AD26" i="7"/>
  <c r="AQ54" i="7"/>
  <c r="AE54" i="7"/>
  <c r="AD54" i="7"/>
  <c r="AQ74" i="7"/>
  <c r="AE74" i="7"/>
  <c r="AD74" i="7"/>
  <c r="AQ22" i="7"/>
  <c r="AE22" i="7"/>
  <c r="AD22" i="7"/>
  <c r="AQ40" i="7"/>
  <c r="AE40" i="7"/>
  <c r="AD40" i="7"/>
  <c r="AQ66" i="7"/>
  <c r="AE66" i="7"/>
  <c r="AD66" i="7"/>
  <c r="AQ43" i="7"/>
  <c r="AE43" i="7"/>
  <c r="AD43" i="7"/>
  <c r="AQ2" i="7"/>
  <c r="AE2" i="7"/>
  <c r="AD2" i="7"/>
  <c r="AQ12" i="7"/>
  <c r="AE12" i="7"/>
  <c r="AD12" i="7"/>
  <c r="AQ51" i="7"/>
  <c r="AE51" i="7"/>
  <c r="AD51" i="7"/>
  <c r="AQ71" i="7"/>
  <c r="AE71" i="7"/>
  <c r="AD71" i="7"/>
  <c r="AQ65" i="7"/>
  <c r="AE65" i="7"/>
  <c r="AD65" i="7"/>
  <c r="AQ69" i="7"/>
  <c r="AE69" i="7"/>
  <c r="AD69" i="7"/>
  <c r="AQ25" i="7"/>
  <c r="AE25" i="7"/>
  <c r="AD25" i="7"/>
  <c r="AQ20" i="7"/>
  <c r="AE20" i="7"/>
  <c r="AD20" i="7"/>
  <c r="AQ27" i="7"/>
  <c r="AE27" i="7"/>
  <c r="AD27" i="7"/>
  <c r="AQ19" i="7"/>
  <c r="AE19" i="7"/>
  <c r="AD19" i="7"/>
  <c r="AQ67" i="7"/>
  <c r="AE67" i="7"/>
  <c r="AD67" i="7"/>
  <c r="AQ34" i="7"/>
  <c r="AE34" i="7"/>
  <c r="AD34" i="7"/>
  <c r="AQ64" i="7"/>
  <c r="AE64" i="7"/>
  <c r="AD64" i="7"/>
  <c r="AQ29" i="7"/>
  <c r="AE29" i="7"/>
  <c r="AD29" i="7"/>
  <c r="AQ18" i="7"/>
  <c r="AE18" i="7"/>
  <c r="AD18" i="7"/>
  <c r="AQ82" i="7"/>
  <c r="AE82" i="7"/>
  <c r="AD82" i="7"/>
  <c r="AQ78" i="7"/>
  <c r="AE78" i="7"/>
  <c r="AD78" i="7"/>
  <c r="AQ3" i="7"/>
  <c r="AE3" i="7"/>
  <c r="AD3" i="7"/>
  <c r="AQ63" i="7"/>
  <c r="AE63" i="7"/>
  <c r="AD63" i="7"/>
  <c r="AQ10" i="7"/>
  <c r="AE10" i="7"/>
  <c r="AD10" i="7"/>
  <c r="AQ5" i="7"/>
  <c r="AE5" i="7"/>
  <c r="AD5" i="7"/>
  <c r="AQ52" i="7"/>
  <c r="AE52" i="7"/>
  <c r="AD52" i="7"/>
  <c r="AQ41" i="7"/>
  <c r="AE41" i="7"/>
  <c r="AD41" i="7"/>
  <c r="AQ48" i="7"/>
  <c r="AE48" i="7"/>
  <c r="AD48" i="7"/>
  <c r="AQ32" i="7"/>
  <c r="AE32" i="7"/>
  <c r="AD32" i="7"/>
  <c r="AQ59" i="7"/>
  <c r="AE59" i="7"/>
  <c r="AD59" i="7"/>
  <c r="AQ58" i="7"/>
  <c r="AE58" i="7"/>
  <c r="AD58" i="7"/>
  <c r="AQ61" i="7"/>
  <c r="AE61" i="7"/>
  <c r="AD61" i="7"/>
  <c r="AQ39" i="7"/>
  <c r="AE39" i="7"/>
  <c r="AD39" i="7"/>
  <c r="AQ57" i="7"/>
  <c r="AE57" i="7"/>
  <c r="AD57" i="7"/>
  <c r="AQ13" i="7"/>
  <c r="AE13" i="7"/>
  <c r="AD13" i="7"/>
  <c r="AQ73" i="7"/>
  <c r="AE73" i="7"/>
  <c r="AD73" i="7"/>
  <c r="AQ15" i="7"/>
  <c r="AE15" i="7"/>
  <c r="AD15" i="7"/>
  <c r="AQ84" i="7"/>
  <c r="AE84" i="7"/>
  <c r="AD84" i="7"/>
  <c r="AQ42" i="7"/>
  <c r="AE42" i="7"/>
  <c r="AD42" i="7"/>
  <c r="AQ50" i="7"/>
  <c r="AE50" i="7"/>
  <c r="AD50" i="7"/>
  <c r="AQ70" i="7"/>
  <c r="AE70" i="7"/>
  <c r="AD70" i="7"/>
  <c r="AQ83" i="7"/>
  <c r="AE83" i="7"/>
  <c r="AD83" i="7"/>
  <c r="AQ45" i="7"/>
  <c r="AE45" i="7"/>
  <c r="AD45" i="7"/>
  <c r="AQ80" i="7"/>
  <c r="AE80" i="7"/>
  <c r="AD80" i="7"/>
  <c r="AQ77" i="7"/>
  <c r="AE77" i="7"/>
  <c r="AD77" i="7"/>
  <c r="AQ17" i="7"/>
  <c r="AE17" i="7"/>
  <c r="AD17" i="7"/>
  <c r="AQ79" i="7"/>
  <c r="AE79" i="7"/>
  <c r="AD79" i="7"/>
  <c r="AQ30" i="7"/>
  <c r="AE30" i="7"/>
  <c r="AD30" i="7"/>
  <c r="AQ68" i="7"/>
  <c r="AE68" i="7"/>
  <c r="AD68" i="7"/>
  <c r="AQ31" i="7"/>
  <c r="AE31" i="7"/>
  <c r="AD31" i="7"/>
  <c r="AQ28" i="7"/>
  <c r="AE28" i="7"/>
  <c r="AD28" i="7"/>
  <c r="AQ16" i="7"/>
  <c r="AE16" i="7"/>
  <c r="AD16" i="7"/>
  <c r="AQ4" i="7"/>
  <c r="AE4" i="7"/>
  <c r="AD4" i="7"/>
  <c r="AQ14" i="7"/>
  <c r="AE14" i="7"/>
  <c r="AD14" i="7"/>
  <c r="AQ36" i="7"/>
  <c r="AE36" i="7"/>
  <c r="AD36" i="7"/>
  <c r="AQ72" i="7"/>
  <c r="AE72" i="7"/>
  <c r="AD72" i="7"/>
  <c r="AQ81" i="7"/>
  <c r="AE81" i="7"/>
  <c r="AD81" i="7"/>
  <c r="AQ9" i="7"/>
  <c r="AN9" i="7"/>
  <c r="AE9" i="7"/>
  <c r="AD9" i="7"/>
  <c r="AQ11" i="7"/>
  <c r="AE11" i="7"/>
  <c r="AD11" i="7"/>
  <c r="AQ76" i="7"/>
  <c r="AE76" i="7"/>
  <c r="AD76" i="7"/>
  <c r="AQ44" i="7"/>
  <c r="AE44" i="7"/>
  <c r="AD44" i="7"/>
  <c r="AQ6" i="7"/>
  <c r="AE6" i="7"/>
  <c r="AD6" i="7"/>
  <c r="AQ49" i="7"/>
  <c r="AE49" i="7"/>
  <c r="AD49" i="7"/>
  <c r="AQ24" i="7"/>
  <c r="AE24" i="7"/>
  <c r="AD24" i="7"/>
  <c r="AQ46" i="7"/>
  <c r="AE46" i="7"/>
  <c r="AD46" i="7"/>
  <c r="AQ75" i="7"/>
  <c r="AE75" i="7"/>
  <c r="AD75" i="7"/>
  <c r="AQ47" i="7"/>
  <c r="AE47" i="7"/>
  <c r="AD47" i="7"/>
  <c r="AQ56" i="7"/>
  <c r="AE56" i="7"/>
  <c r="AD56" i="7"/>
  <c r="AQ55" i="7"/>
  <c r="AE55" i="7"/>
  <c r="AD55" i="7"/>
  <c r="AQ38" i="7"/>
  <c r="AE38" i="7"/>
  <c r="AD38" i="7"/>
  <c r="AQ53" i="7"/>
  <c r="AE53" i="7"/>
  <c r="AD53" i="7"/>
</calcChain>
</file>

<file path=xl/sharedStrings.xml><?xml version="1.0" encoding="utf-8"?>
<sst xmlns="http://schemas.openxmlformats.org/spreadsheetml/2006/main" count="539" uniqueCount="336">
  <si>
    <t>Nº</t>
  </si>
  <si>
    <t>RUT</t>
  </si>
  <si>
    <t>FONIS II - 1er Tri</t>
  </si>
  <si>
    <t>FLAGIII - 3er Tri</t>
  </si>
  <si>
    <t>Edad Materna 1tm</t>
  </si>
  <si>
    <t>EG_1tm (sem)</t>
  </si>
  <si>
    <t>EG_1tm (+ Días)</t>
  </si>
  <si>
    <t>EG total_1tm (Días)</t>
  </si>
  <si>
    <t>Peso_1tm (kg)</t>
  </si>
  <si>
    <t>Talla_1tm (cm)</t>
  </si>
  <si>
    <t>IMC_1tm</t>
  </si>
  <si>
    <t>PAS_1tm</t>
  </si>
  <si>
    <t>PAD_1tm</t>
  </si>
  <si>
    <t>HTO (%)</t>
  </si>
  <si>
    <t>Hb (g/dL)</t>
  </si>
  <si>
    <t>Col_tot (mg/dL)</t>
  </si>
  <si>
    <t>HDL (mg/dL)</t>
  </si>
  <si>
    <t>LDL (mg/dL)</t>
  </si>
  <si>
    <t>Triglic (mg/dL)</t>
  </si>
  <si>
    <t>Insulina_basal_1tm (uu/ml)</t>
  </si>
  <si>
    <t>Glic_ayuno_1tm (mg/dL)</t>
  </si>
  <si>
    <t>PTGO basal</t>
  </si>
  <si>
    <t>PTGO_post carga</t>
  </si>
  <si>
    <t>COL_TOT(mg/dL III trimes</t>
  </si>
  <si>
    <t>TG (mg/dL) III trimes</t>
  </si>
  <si>
    <t>HDL (mg/dL) III trimes</t>
  </si>
  <si>
    <t>LDL (mg/dL) III trimes</t>
  </si>
  <si>
    <t>VLDL (mg/dL) III trimes</t>
  </si>
  <si>
    <t>15638734-7</t>
  </si>
  <si>
    <t>F19-335</t>
  </si>
  <si>
    <t>RC-317</t>
  </si>
  <si>
    <t>15641346-1</t>
  </si>
  <si>
    <t>F19-294</t>
  </si>
  <si>
    <t>RC-243</t>
  </si>
  <si>
    <t>15643734-4</t>
  </si>
  <si>
    <t>F19-299</t>
  </si>
  <si>
    <t>RC-258</t>
  </si>
  <si>
    <t>15643830-8</t>
  </si>
  <si>
    <t>F19-216</t>
  </si>
  <si>
    <t>RC-131</t>
  </si>
  <si>
    <t>15845321-5</t>
  </si>
  <si>
    <t>F19-273</t>
  </si>
  <si>
    <t>RC-227</t>
  </si>
  <si>
    <t>15899529-8</t>
  </si>
  <si>
    <t>F19-156</t>
  </si>
  <si>
    <t>RC-030</t>
  </si>
  <si>
    <t>15960330-K</t>
  </si>
  <si>
    <t>F19-306</t>
  </si>
  <si>
    <t>RC-246</t>
  </si>
  <si>
    <t>15971591-4</t>
  </si>
  <si>
    <t>F19-179</t>
  </si>
  <si>
    <t>RC-075</t>
  </si>
  <si>
    <t>16006479-K</t>
  </si>
  <si>
    <t>F19-326</t>
  </si>
  <si>
    <t>RC-312</t>
  </si>
  <si>
    <t>16081085-8</t>
  </si>
  <si>
    <t>F19-242</t>
  </si>
  <si>
    <t>RC-164</t>
  </si>
  <si>
    <t>16100360-3</t>
  </si>
  <si>
    <t>F19-140</t>
  </si>
  <si>
    <t>RC-334</t>
  </si>
  <si>
    <t>16178621-7</t>
  </si>
  <si>
    <t>F19-301</t>
  </si>
  <si>
    <t>RC-255</t>
  </si>
  <si>
    <t>16207598-5</t>
  </si>
  <si>
    <t>F19-312</t>
  </si>
  <si>
    <t>RC-231</t>
  </si>
  <si>
    <t>16301480-7</t>
  </si>
  <si>
    <t>F19-195</t>
  </si>
  <si>
    <t>RC-329</t>
  </si>
  <si>
    <t>16361069-8</t>
  </si>
  <si>
    <t>F19-292</t>
  </si>
  <si>
    <t>RC-259</t>
  </si>
  <si>
    <t>16365495-4</t>
  </si>
  <si>
    <t>F19-205</t>
  </si>
  <si>
    <t>RC-125</t>
  </si>
  <si>
    <t>16370520-6</t>
  </si>
  <si>
    <t>F19-353</t>
  </si>
  <si>
    <t>RC-354</t>
  </si>
  <si>
    <t>16561284-1</t>
  </si>
  <si>
    <t>F19-157</t>
  </si>
  <si>
    <t>RC-060</t>
  </si>
  <si>
    <t>16573460-2</t>
  </si>
  <si>
    <t>F19-138</t>
  </si>
  <si>
    <t>RC-014</t>
  </si>
  <si>
    <t>16575857-9</t>
  </si>
  <si>
    <t>F19-257</t>
  </si>
  <si>
    <t>RC-166</t>
  </si>
  <si>
    <t>16605655-1</t>
  </si>
  <si>
    <t>F19-360</t>
  </si>
  <si>
    <t>RC-342</t>
  </si>
  <si>
    <t>16608785-6</t>
  </si>
  <si>
    <t>F19-197</t>
  </si>
  <si>
    <t>RC-094</t>
  </si>
  <si>
    <t>16610242-1</t>
  </si>
  <si>
    <t>F19-262</t>
  </si>
  <si>
    <t>RC-217</t>
  </si>
  <si>
    <t>16610265-0</t>
  </si>
  <si>
    <t>F19-366</t>
  </si>
  <si>
    <t>RC-400</t>
  </si>
  <si>
    <t>16611122-6</t>
  </si>
  <si>
    <t>F19-298</t>
  </si>
  <si>
    <t>RC-284</t>
  </si>
  <si>
    <t>16611956-1</t>
  </si>
  <si>
    <t>F19-369</t>
  </si>
  <si>
    <t>RC-393</t>
  </si>
  <si>
    <t>16612229-5</t>
  </si>
  <si>
    <t>F19-164</t>
  </si>
  <si>
    <t>RC-058</t>
  </si>
  <si>
    <t>16658841-3</t>
  </si>
  <si>
    <t>F19-213</t>
  </si>
  <si>
    <t>RC-136</t>
  </si>
  <si>
    <t>16663573-K</t>
  </si>
  <si>
    <t>F19-307</t>
  </si>
  <si>
    <t>RC-262</t>
  </si>
  <si>
    <t>16885700-4</t>
  </si>
  <si>
    <t>F19-315</t>
  </si>
  <si>
    <t>RC-296</t>
  </si>
  <si>
    <t>16911212-6</t>
  </si>
  <si>
    <t>F19-252</t>
  </si>
  <si>
    <t>RC-170</t>
  </si>
  <si>
    <t>16937650-6</t>
  </si>
  <si>
    <t>F19-276</t>
  </si>
  <si>
    <t>RC-247</t>
  </si>
  <si>
    <t>17083669-3</t>
  </si>
  <si>
    <t>F19-258</t>
  </si>
  <si>
    <t>RC-205</t>
  </si>
  <si>
    <t>17085887-5</t>
  </si>
  <si>
    <t>F19-226</t>
  </si>
  <si>
    <t>RC-160</t>
  </si>
  <si>
    <t>17087819-1</t>
  </si>
  <si>
    <t>F19-309</t>
  </si>
  <si>
    <t>RC-261</t>
  </si>
  <si>
    <t>17088730-1</t>
  </si>
  <si>
    <t>F19-363</t>
  </si>
  <si>
    <t>RC-398</t>
  </si>
  <si>
    <t>17089145-7</t>
  </si>
  <si>
    <t>F19-361</t>
  </si>
  <si>
    <t>RC-366</t>
  </si>
  <si>
    <t>17090303-K</t>
  </si>
  <si>
    <t>F19-230</t>
  </si>
  <si>
    <t>RC-139</t>
  </si>
  <si>
    <t>17090318-8</t>
  </si>
  <si>
    <t>F19-356</t>
  </si>
  <si>
    <t>RC-360</t>
  </si>
  <si>
    <t>17118540-8</t>
  </si>
  <si>
    <t>F19-286</t>
  </si>
  <si>
    <t>RC-218</t>
  </si>
  <si>
    <t>17119238-2</t>
  </si>
  <si>
    <t>F19-198</t>
  </si>
  <si>
    <t>RC-076</t>
  </si>
  <si>
    <t>17235354-1</t>
  </si>
  <si>
    <t>F19-263</t>
  </si>
  <si>
    <t>RC-194</t>
  </si>
  <si>
    <t>17270631-2</t>
  </si>
  <si>
    <t>F19-175</t>
  </si>
  <si>
    <t>RC-055</t>
  </si>
  <si>
    <t>17317394-6</t>
  </si>
  <si>
    <t>F19-131</t>
  </si>
  <si>
    <t>RC-025</t>
  </si>
  <si>
    <t>17325745-7</t>
  </si>
  <si>
    <t>F19-166</t>
  </si>
  <si>
    <t>RC-064</t>
  </si>
  <si>
    <t>17344599-7</t>
  </si>
  <si>
    <t>F19-172</t>
  </si>
  <si>
    <t>RC-024</t>
  </si>
  <si>
    <t>17403983-6</t>
  </si>
  <si>
    <t>F19-339</t>
  </si>
  <si>
    <t>RC-300</t>
  </si>
  <si>
    <t>17407961-7</t>
  </si>
  <si>
    <t>F19-186</t>
  </si>
  <si>
    <t>RC-098</t>
  </si>
  <si>
    <t>17658062-3</t>
  </si>
  <si>
    <t>F19-202</t>
  </si>
  <si>
    <t>RC-080</t>
  </si>
  <si>
    <t>17700363-8</t>
  </si>
  <si>
    <t>F19-253</t>
  </si>
  <si>
    <t>RC-187</t>
  </si>
  <si>
    <t>17700867-2</t>
  </si>
  <si>
    <t>F19-200</t>
  </si>
  <si>
    <t>RC-089</t>
  </si>
  <si>
    <t>17701369-2</t>
  </si>
  <si>
    <t>F19-190</t>
  </si>
  <si>
    <t>RC-073</t>
  </si>
  <si>
    <t>17702560-7</t>
  </si>
  <si>
    <t>F19-187</t>
  </si>
  <si>
    <t>RC-041</t>
  </si>
  <si>
    <t>17726966-2</t>
  </si>
  <si>
    <t>F19-268</t>
  </si>
  <si>
    <t>RC-223</t>
  </si>
  <si>
    <t>17740082-3</t>
  </si>
  <si>
    <t>F19-255</t>
  </si>
  <si>
    <t>RC-169</t>
  </si>
  <si>
    <t>17910387-7</t>
  </si>
  <si>
    <t>F19-308</t>
  </si>
  <si>
    <t>RC-264</t>
  </si>
  <si>
    <t>17958566-9</t>
  </si>
  <si>
    <t>F19-160</t>
  </si>
  <si>
    <t>RC-017</t>
  </si>
  <si>
    <t>17961915-6</t>
  </si>
  <si>
    <t>F19-296</t>
  </si>
  <si>
    <t>RC-235</t>
  </si>
  <si>
    <t>18018549-6</t>
  </si>
  <si>
    <t>F19-223</t>
  </si>
  <si>
    <t>RC-119</t>
  </si>
  <si>
    <t>18020223-4</t>
  </si>
  <si>
    <t>F19-207</t>
  </si>
  <si>
    <t>RC-134</t>
  </si>
  <si>
    <t>18022685-0</t>
  </si>
  <si>
    <t>F19-167</t>
  </si>
  <si>
    <t>RC-385</t>
  </si>
  <si>
    <t>18025122-7</t>
  </si>
  <si>
    <t>F19-247</t>
  </si>
  <si>
    <t>RC-172</t>
  </si>
  <si>
    <t>18043756-8</t>
  </si>
  <si>
    <t>F19-347</t>
  </si>
  <si>
    <t>RC-316</t>
  </si>
  <si>
    <t>18104197-8</t>
  </si>
  <si>
    <t>F19-266</t>
  </si>
  <si>
    <t>RC-193</t>
  </si>
  <si>
    <t>18169692-3</t>
  </si>
  <si>
    <t>F19-302</t>
  </si>
  <si>
    <t>RC-288</t>
  </si>
  <si>
    <t>18392781-7</t>
  </si>
  <si>
    <t>F19-163</t>
  </si>
  <si>
    <t>RC-052</t>
  </si>
  <si>
    <t>18393392-2</t>
  </si>
  <si>
    <t>F19-280</t>
  </si>
  <si>
    <t>RC-248</t>
  </si>
  <si>
    <t>18582945-6</t>
  </si>
  <si>
    <t>F19-345</t>
  </si>
  <si>
    <t>RC-343</t>
  </si>
  <si>
    <t>18636774-K</t>
  </si>
  <si>
    <t>F19-290</t>
  </si>
  <si>
    <t>RC-230</t>
  </si>
  <si>
    <t>18639735-5</t>
  </si>
  <si>
    <t>F19-354</t>
  </si>
  <si>
    <t>RC-372</t>
  </si>
  <si>
    <t>18641696-1</t>
  </si>
  <si>
    <t>F19-304</t>
  </si>
  <si>
    <t>RC-278</t>
  </si>
  <si>
    <t>18765634-6</t>
  </si>
  <si>
    <t>F19-243</t>
  </si>
  <si>
    <t>RC-157</t>
  </si>
  <si>
    <t>19081711-3</t>
  </si>
  <si>
    <t>F19-267</t>
  </si>
  <si>
    <t>RC-214</t>
  </si>
  <si>
    <t>19182765-1</t>
  </si>
  <si>
    <t>F19-271</t>
  </si>
  <si>
    <t>RC-222</t>
  </si>
  <si>
    <t>19186692-4</t>
  </si>
  <si>
    <t>F19-154</t>
  </si>
  <si>
    <t>RC-037</t>
  </si>
  <si>
    <t>19605210-0</t>
  </si>
  <si>
    <t>F19-161</t>
  </si>
  <si>
    <t>RC-042</t>
  </si>
  <si>
    <t>19673109-1</t>
  </si>
  <si>
    <t>F19-256</t>
  </si>
  <si>
    <t>RC-188</t>
  </si>
  <si>
    <t>19688601-K</t>
  </si>
  <si>
    <t>F19-159</t>
  </si>
  <si>
    <t>RC-036</t>
  </si>
  <si>
    <t>25756738-9</t>
  </si>
  <si>
    <t>F19-201</t>
  </si>
  <si>
    <t>RC-091</t>
  </si>
  <si>
    <t>25838232-3</t>
  </si>
  <si>
    <t>F19-357</t>
  </si>
  <si>
    <t>RC-323</t>
  </si>
  <si>
    <t>25843045-K</t>
  </si>
  <si>
    <t>F19-158</t>
  </si>
  <si>
    <t>RC-022</t>
  </si>
  <si>
    <t>27491793-8</t>
  </si>
  <si>
    <t>F19-275</t>
  </si>
  <si>
    <t>RC-220</t>
  </si>
  <si>
    <t>27590293-4</t>
  </si>
  <si>
    <t>F19-218</t>
  </si>
  <si>
    <t>RC-109</t>
  </si>
  <si>
    <t>FECHA MUESTRA</t>
  </si>
  <si>
    <t>EG MUESTRA (S)</t>
  </si>
  <si>
    <t>EG MUESTRA (D)</t>
  </si>
  <si>
    <t>EDAD</t>
  </si>
  <si>
    <t>PESO 3º TRIM</t>
  </si>
  <si>
    <t>TALLA</t>
  </si>
  <si>
    <t>PARIDAD</t>
  </si>
  <si>
    <t>FECHA PARTO</t>
  </si>
  <si>
    <t>EG (S)</t>
  </si>
  <si>
    <t>EG (D)</t>
  </si>
  <si>
    <t>SEXO</t>
  </si>
  <si>
    <t>PESO</t>
  </si>
  <si>
    <t>MULTIPARA</t>
  </si>
  <si>
    <t>MASCULINO</t>
  </si>
  <si>
    <t>FEMENINO</t>
  </si>
  <si>
    <t>PRIMIGESTA</t>
  </si>
  <si>
    <t>PRIMIGESRA</t>
  </si>
  <si>
    <t>SECUNDIGESTA</t>
  </si>
  <si>
    <t>NULIPARA</t>
  </si>
  <si>
    <t>% de aumento CT</t>
  </si>
  <si>
    <t>IMC T3</t>
  </si>
  <si>
    <t>GW</t>
  </si>
  <si>
    <t>ApoA1</t>
  </si>
  <si>
    <t>ApoB/ApoA1</t>
  </si>
  <si>
    <t>APoB</t>
  </si>
  <si>
    <t>MDA (uM)</t>
  </si>
  <si>
    <t>id</t>
  </si>
  <si>
    <t>edad</t>
  </si>
  <si>
    <t>peso</t>
  </si>
  <si>
    <t>talla</t>
  </si>
  <si>
    <t>imc</t>
  </si>
  <si>
    <t>glicemia</t>
  </si>
  <si>
    <t>pad1t</t>
  </si>
  <si>
    <t>ct1</t>
  </si>
  <si>
    <t>ct3</t>
  </si>
  <si>
    <t>tg1</t>
  </si>
  <si>
    <t>tg3</t>
  </si>
  <si>
    <t>hdl3</t>
  </si>
  <si>
    <t>ldl1</t>
  </si>
  <si>
    <t>ldl3</t>
  </si>
  <si>
    <t>vldl1</t>
  </si>
  <si>
    <t>vldl3</t>
  </si>
  <si>
    <t>tipo</t>
  </si>
  <si>
    <t/>
  </si>
  <si>
    <t>pas1t</t>
  </si>
  <si>
    <t>hdl1</t>
  </si>
  <si>
    <t>identificacion</t>
  </si>
  <si>
    <t>indice de masa corporal</t>
  </si>
  <si>
    <t>presion arterial sistolica primer trimestre</t>
  </si>
  <si>
    <t>presion arterial diastolica pirmer trimestre</t>
  </si>
  <si>
    <t>colesaterol total primer trimestre</t>
  </si>
  <si>
    <t>triglicerido primer trimestre</t>
  </si>
  <si>
    <t>colestero hdl primer trimestre</t>
  </si>
  <si>
    <t>colesterol ldl  primer trimestre</t>
  </si>
  <si>
    <t>colestrol ldl tercert trimestre (no usar como predictor)</t>
  </si>
  <si>
    <t>colestrol hdl tercer trimestre (no usar como predictor)</t>
  </si>
  <si>
    <t>triglicerido tercer trimestre (no usar como predictor)</t>
  </si>
  <si>
    <t>colesterol total tercer trimestre (no usar como predictor)</t>
  </si>
  <si>
    <t>define hipercolesterolemia suprafisiologica, variable respuesta 1:si 2:no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</si>
</sst>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64" formatCode="dd\-mm\-yyyy"/>
    <numFmt numFmtId="165" formatCode="d\-m\-yyyy"/>
    <numFmt numFmtId="166" formatCode="dd/mm/yyyy"/>
    <numFmt numFmtId="167" formatCode="0.0"/>
  </numFmts>
  <fonts count="14" x14ac:knownFonts="1">
    <font>
      <sz val="12"/>
      <color theme="1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4"/>
      <color theme="1"/>
      <name val="Calibri"/>
      <family val="2"/>
      <scheme val="minor"/>
    </font>
    <font>
      <sz val="10"/>
      <color rgb="FFEA4335"/>
      <name val="Arial"/>
      <family val="2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1" fontId="13" fillId="0" borderId="0" applyFont="0" applyFill="0" applyBorder="0" applyAlignment="0" applyProtection="0"/>
  </cellStyleXfs>
  <cellXfs count="40">
    <xf numFmtId="0" fontId="0" fillId="0" borderId="0" xfId="0"/>
    <xf numFmtId="0" fontId="3" fillId="0" borderId="0" xfId="0" applyFont="1" applyFill="1" applyBorder="1" applyAlignment="1">
      <alignment horizontal="center" wrapText="1"/>
    </xf>
    <xf numFmtId="0" fontId="4" fillId="0" borderId="0" xfId="0" applyFont="1" applyFill="1" applyBorder="1" applyAlignment="1">
      <alignment horizontal="center" wrapText="1"/>
    </xf>
    <xf numFmtId="0" fontId="7" fillId="0" borderId="0" xfId="0" applyFont="1" applyFill="1" applyBorder="1" applyAlignment="1">
      <alignment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/>
    </xf>
    <xf numFmtId="0" fontId="10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14" fontId="0" fillId="0" borderId="0" xfId="0" applyNumberFormat="1" applyFill="1" applyBorder="1" applyAlignment="1">
      <alignment horizontal="center"/>
    </xf>
    <xf numFmtId="164" fontId="12" fillId="0" borderId="0" xfId="0" applyNumberFormat="1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/>
    </xf>
    <xf numFmtId="0" fontId="0" fillId="0" borderId="0" xfId="0" applyFill="1" applyBorder="1"/>
    <xf numFmtId="0" fontId="9" fillId="0" borderId="0" xfId="0" applyFont="1" applyFill="1" applyBorder="1" applyAlignment="1">
      <alignment horizontal="center"/>
    </xf>
    <xf numFmtId="166" fontId="12" fillId="0" borderId="0" xfId="0" applyNumberFormat="1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3" borderId="0" xfId="0" applyFill="1" applyBorder="1"/>
    <xf numFmtId="0" fontId="0" fillId="0" borderId="0" xfId="0" applyNumberFormat="1" applyFill="1" applyBorder="1" applyAlignment="1">
      <alignment horizontal="center"/>
    </xf>
    <xf numFmtId="165" fontId="12" fillId="0" borderId="0" xfId="0" applyNumberFormat="1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10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14" fontId="0" fillId="2" borderId="0" xfId="0" applyNumberFormat="1" applyFill="1" applyBorder="1" applyAlignment="1">
      <alignment horizontal="center"/>
    </xf>
    <xf numFmtId="164" fontId="12" fillId="2" borderId="0" xfId="0" applyNumberFormat="1" applyFont="1" applyFill="1" applyBorder="1" applyAlignment="1">
      <alignment horizontal="center"/>
    </xf>
    <xf numFmtId="0" fontId="12" fillId="2" borderId="0" xfId="0" applyFont="1" applyFill="1" applyBorder="1" applyAlignment="1">
      <alignment horizontal="center"/>
    </xf>
    <xf numFmtId="0" fontId="0" fillId="2" borderId="0" xfId="0" applyFill="1" applyBorder="1"/>
    <xf numFmtId="166" fontId="12" fillId="2" borderId="0" xfId="0" applyNumberFormat="1" applyFont="1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165" fontId="12" fillId="2" borderId="0" xfId="0" applyNumberFormat="1" applyFont="1" applyFill="1" applyBorder="1" applyAlignment="1">
      <alignment horizontal="center"/>
    </xf>
    <xf numFmtId="0" fontId="9" fillId="2" borderId="0" xfId="0" applyFont="1" applyFill="1" applyBorder="1" applyAlignment="1">
      <alignment horizontal="center"/>
    </xf>
    <xf numFmtId="0" fontId="11" fillId="2" borderId="0" xfId="0" applyFont="1" applyFill="1" applyBorder="1" applyAlignment="1">
      <alignment horizontal="center"/>
    </xf>
    <xf numFmtId="164" fontId="12" fillId="2" borderId="0" xfId="0" applyNumberFormat="1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/>
    </xf>
    <xf numFmtId="167" fontId="0" fillId="0" borderId="0" xfId="0" applyNumberFormat="1"/>
    <xf numFmtId="1" fontId="0" fillId="0" borderId="0" xfId="0" applyNumberFormat="1"/>
    <xf numFmtId="0" fontId="0" fillId="0" borderId="0" xfId="1" applyNumberFormat="1" applyFont="1" applyFill="1"/>
    <xf numFmtId="0" fontId="1" fillId="0" borderId="0" xfId="0" applyFont="1" applyFill="1" applyBorder="1" applyAlignment="1">
      <alignment horizontal="center" wrapText="1"/>
    </xf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10DFE-80FF-0C43-BFB2-D4A22FAA14A8}">
  <dimension ref="A1:AU91"/>
  <sheetViews>
    <sheetView topLeftCell="AO1" zoomScale="87" zoomScaleNormal="87" workbookViewId="0">
      <selection sqref="A1:XFD1048576"/>
    </sheetView>
  </sheetViews>
  <sheetFormatPr baseColWidth="10" defaultColWidth="11" defaultRowHeight="16" x14ac:dyDescent="0.2"/>
  <cols>
    <col min="1" max="1" width="5.6640625" style="5" customWidth="1"/>
    <col min="2" max="2" width="12.5" style="5" customWidth="1"/>
    <col min="3" max="3" width="16.6640625" style="5" customWidth="1"/>
    <col min="4" max="22" width="11" style="5" customWidth="1"/>
    <col min="23" max="23" width="17.83203125" style="5" customWidth="1"/>
    <col min="24" max="31" width="11" style="5" customWidth="1"/>
    <col min="32" max="32" width="27.1640625" style="5" customWidth="1"/>
    <col min="33" max="37" width="11" style="5" customWidth="1"/>
    <col min="38" max="38" width="11" style="5"/>
    <col min="39" max="43" width="11" style="5" customWidth="1"/>
    <col min="44" max="16384" width="11" style="5"/>
  </cols>
  <sheetData>
    <row r="1" spans="1:47" s="1" customFormat="1" ht="52" x14ac:dyDescent="0.25">
      <c r="A1" s="1" t="s">
        <v>0</v>
      </c>
      <c r="B1" s="2" t="s">
        <v>1</v>
      </c>
      <c r="C1" s="2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3" t="s">
        <v>21</v>
      </c>
      <c r="V1" s="3" t="s">
        <v>22</v>
      </c>
      <c r="W1" s="2" t="s">
        <v>3</v>
      </c>
      <c r="X1" s="4" t="s">
        <v>277</v>
      </c>
      <c r="Y1" s="4" t="s">
        <v>278</v>
      </c>
      <c r="Z1" s="4" t="s">
        <v>279</v>
      </c>
      <c r="AA1" s="4" t="s">
        <v>280</v>
      </c>
      <c r="AB1" s="4" t="s">
        <v>281</v>
      </c>
      <c r="AC1" s="4" t="s">
        <v>282</v>
      </c>
      <c r="AD1" s="4" t="s">
        <v>297</v>
      </c>
      <c r="AE1" s="4" t="s">
        <v>298</v>
      </c>
      <c r="AF1" s="4" t="s">
        <v>283</v>
      </c>
      <c r="AG1" s="4" t="s">
        <v>284</v>
      </c>
      <c r="AH1" s="4" t="s">
        <v>285</v>
      </c>
      <c r="AI1" s="4" t="s">
        <v>286</v>
      </c>
      <c r="AJ1" s="4" t="s">
        <v>287</v>
      </c>
      <c r="AK1" s="4" t="s">
        <v>288</v>
      </c>
      <c r="AL1" s="1" t="s">
        <v>23</v>
      </c>
      <c r="AM1" s="1" t="s">
        <v>24</v>
      </c>
      <c r="AN1" s="1" t="s">
        <v>25</v>
      </c>
      <c r="AO1" s="1" t="s">
        <v>26</v>
      </c>
      <c r="AP1" s="1" t="s">
        <v>27</v>
      </c>
      <c r="AQ1" s="1" t="s">
        <v>296</v>
      </c>
      <c r="AR1" s="1" t="s">
        <v>299</v>
      </c>
      <c r="AS1" s="1" t="s">
        <v>301</v>
      </c>
      <c r="AT1" s="1" t="s">
        <v>300</v>
      </c>
      <c r="AU1" s="1" t="s">
        <v>302</v>
      </c>
    </row>
    <row r="2" spans="1:47" ht="19" x14ac:dyDescent="0.25">
      <c r="A2" s="5">
        <v>35</v>
      </c>
      <c r="B2" s="6" t="s">
        <v>130</v>
      </c>
      <c r="C2" s="7" t="s">
        <v>131</v>
      </c>
      <c r="D2" s="8">
        <v>33</v>
      </c>
      <c r="E2" s="8">
        <v>10</v>
      </c>
      <c r="F2" s="8">
        <v>1</v>
      </c>
      <c r="G2" s="8">
        <v>71</v>
      </c>
      <c r="H2" s="8">
        <v>68</v>
      </c>
      <c r="I2" s="8">
        <v>169</v>
      </c>
      <c r="J2" s="8">
        <v>23.8</v>
      </c>
      <c r="K2" s="8">
        <v>101</v>
      </c>
      <c r="L2" s="8">
        <v>60</v>
      </c>
      <c r="M2" s="8">
        <v>38.1</v>
      </c>
      <c r="N2" s="8">
        <v>13.7</v>
      </c>
      <c r="O2" s="8">
        <v>239</v>
      </c>
      <c r="P2" s="8">
        <v>69</v>
      </c>
      <c r="Q2" s="8">
        <v>153</v>
      </c>
      <c r="R2" s="8">
        <v>85.1</v>
      </c>
      <c r="S2" s="8">
        <v>5.13</v>
      </c>
      <c r="T2" s="8">
        <v>76.2</v>
      </c>
      <c r="U2" s="8">
        <v>90</v>
      </c>
      <c r="V2" s="8">
        <v>97</v>
      </c>
      <c r="W2" s="6" t="s">
        <v>132</v>
      </c>
      <c r="X2" s="9">
        <v>44937</v>
      </c>
      <c r="Y2" s="5">
        <v>35</v>
      </c>
      <c r="Z2" s="5">
        <v>4</v>
      </c>
      <c r="AA2" s="5">
        <v>33</v>
      </c>
      <c r="AB2" s="5">
        <v>75</v>
      </c>
      <c r="AC2" s="5">
        <v>1.69</v>
      </c>
      <c r="AD2" s="5">
        <f t="shared" ref="AD2:AD33" si="0">((AB2/(AC2*AC2)))</f>
        <v>26.259584748433181</v>
      </c>
      <c r="AE2" s="5">
        <f t="shared" ref="AE2:AE33" si="1">AB2-H2</f>
        <v>7</v>
      </c>
      <c r="AF2" s="5" t="s">
        <v>289</v>
      </c>
      <c r="AG2" s="10">
        <v>44943</v>
      </c>
      <c r="AH2" s="11">
        <v>36</v>
      </c>
      <c r="AI2" s="11">
        <v>2</v>
      </c>
      <c r="AJ2" s="11" t="s">
        <v>290</v>
      </c>
      <c r="AK2" s="11">
        <v>2935</v>
      </c>
      <c r="AL2" s="5">
        <v>426</v>
      </c>
      <c r="AM2" s="5">
        <v>386</v>
      </c>
      <c r="AN2" s="5">
        <v>43</v>
      </c>
      <c r="AO2" s="5">
        <v>305</v>
      </c>
      <c r="AP2" s="5">
        <v>77</v>
      </c>
      <c r="AQ2" s="5">
        <f t="shared" ref="AQ2:AQ33" si="2">((100*AL2)/O2)-100</f>
        <v>78.242677824267787</v>
      </c>
      <c r="AR2" s="12">
        <v>102.68</v>
      </c>
      <c r="AS2" s="12">
        <v>137.31</v>
      </c>
      <c r="AT2" s="5">
        <f>AS2/AR2</f>
        <v>1.3372613946240748</v>
      </c>
      <c r="AU2" s="5">
        <v>5.57</v>
      </c>
    </row>
    <row r="3" spans="1:47" ht="19" x14ac:dyDescent="0.25">
      <c r="A3" s="5">
        <v>5</v>
      </c>
      <c r="B3" s="6" t="s">
        <v>40</v>
      </c>
      <c r="C3" s="7" t="s">
        <v>41</v>
      </c>
      <c r="D3" s="8">
        <v>37</v>
      </c>
      <c r="E3" s="8">
        <v>11</v>
      </c>
      <c r="F3" s="8">
        <v>0</v>
      </c>
      <c r="G3" s="8">
        <v>77</v>
      </c>
      <c r="H3" s="8">
        <v>58.8</v>
      </c>
      <c r="I3" s="8">
        <v>162</v>
      </c>
      <c r="J3" s="8">
        <v>22.4</v>
      </c>
      <c r="K3" s="8">
        <v>101</v>
      </c>
      <c r="L3" s="8">
        <v>58</v>
      </c>
      <c r="M3" s="8">
        <v>41.1</v>
      </c>
      <c r="N3" s="8">
        <v>14.5</v>
      </c>
      <c r="O3" s="8">
        <v>222</v>
      </c>
      <c r="P3" s="8">
        <v>65.599999999999994</v>
      </c>
      <c r="Q3" s="8">
        <v>137</v>
      </c>
      <c r="R3" s="8">
        <v>97</v>
      </c>
      <c r="S3" s="8">
        <v>4.9800000000000004</v>
      </c>
      <c r="T3" s="8">
        <v>71.900000000000006</v>
      </c>
      <c r="U3" s="8">
        <v>74.8</v>
      </c>
      <c r="V3" s="8">
        <v>107.4</v>
      </c>
      <c r="W3" s="6" t="s">
        <v>42</v>
      </c>
      <c r="X3" s="9">
        <v>44915</v>
      </c>
      <c r="Y3" s="5">
        <v>35</v>
      </c>
      <c r="Z3" s="5">
        <v>6</v>
      </c>
      <c r="AA3" s="5">
        <v>37</v>
      </c>
      <c r="AB3" s="5">
        <v>70</v>
      </c>
      <c r="AC3" s="5">
        <v>1.64</v>
      </c>
      <c r="AD3" s="5">
        <f t="shared" si="0"/>
        <v>26.026174895895306</v>
      </c>
      <c r="AE3" s="5">
        <f t="shared" si="1"/>
        <v>11.200000000000003</v>
      </c>
      <c r="AF3" s="5" t="s">
        <v>292</v>
      </c>
      <c r="AG3" s="10">
        <v>44944</v>
      </c>
      <c r="AH3" s="11">
        <v>40</v>
      </c>
      <c r="AI3" s="11">
        <v>0</v>
      </c>
      <c r="AJ3" s="11" t="s">
        <v>290</v>
      </c>
      <c r="AK3" s="11">
        <v>3660</v>
      </c>
      <c r="AL3" s="5">
        <v>399</v>
      </c>
      <c r="AM3" s="5">
        <v>356</v>
      </c>
      <c r="AN3" s="5">
        <v>50</v>
      </c>
      <c r="AO3" s="5">
        <v>278</v>
      </c>
      <c r="AP3" s="5">
        <v>71</v>
      </c>
      <c r="AQ3" s="5">
        <f t="shared" si="2"/>
        <v>79.72972972972974</v>
      </c>
      <c r="AR3" s="12">
        <v>108.3</v>
      </c>
      <c r="AS3" s="12">
        <v>91.68</v>
      </c>
      <c r="AT3" s="5">
        <f t="shared" ref="AT3:AT66" si="3">AS3/AR3</f>
        <v>0.84653739612188372</v>
      </c>
      <c r="AU3" s="5">
        <v>1.17</v>
      </c>
    </row>
    <row r="4" spans="1:47" ht="19" x14ac:dyDescent="0.25">
      <c r="A4" s="5">
        <v>53</v>
      </c>
      <c r="B4" s="6" t="s">
        <v>184</v>
      </c>
      <c r="C4" s="7" t="s">
        <v>185</v>
      </c>
      <c r="D4" s="8">
        <v>30</v>
      </c>
      <c r="E4" s="8">
        <v>11</v>
      </c>
      <c r="F4" s="8">
        <v>3</v>
      </c>
      <c r="G4" s="8">
        <v>80</v>
      </c>
      <c r="H4" s="8">
        <v>63</v>
      </c>
      <c r="I4" s="8">
        <v>160</v>
      </c>
      <c r="J4" s="8">
        <v>24.6</v>
      </c>
      <c r="K4" s="8">
        <v>113</v>
      </c>
      <c r="L4" s="8">
        <v>58</v>
      </c>
      <c r="M4" s="8">
        <v>37.9</v>
      </c>
      <c r="N4" s="8">
        <v>13.1</v>
      </c>
      <c r="O4" s="8">
        <v>197</v>
      </c>
      <c r="P4" s="8">
        <v>56.3</v>
      </c>
      <c r="Q4" s="8">
        <v>120.7</v>
      </c>
      <c r="R4" s="8">
        <v>100</v>
      </c>
      <c r="S4" s="8">
        <v>4.3</v>
      </c>
      <c r="T4" s="8">
        <v>79.8</v>
      </c>
      <c r="U4" s="8">
        <v>84.7</v>
      </c>
      <c r="V4" s="8">
        <v>97.1</v>
      </c>
      <c r="W4" s="6" t="s">
        <v>186</v>
      </c>
      <c r="X4" s="9">
        <v>44774</v>
      </c>
      <c r="Y4" s="5">
        <v>35</v>
      </c>
      <c r="Z4" s="5">
        <v>1</v>
      </c>
      <c r="AA4" s="5">
        <v>31</v>
      </c>
      <c r="AB4" s="5">
        <v>70</v>
      </c>
      <c r="AC4" s="5">
        <v>1.58</v>
      </c>
      <c r="AD4" s="5">
        <f t="shared" si="0"/>
        <v>28.040378144528116</v>
      </c>
      <c r="AE4" s="5">
        <f t="shared" si="1"/>
        <v>7</v>
      </c>
      <c r="AF4" s="5" t="s">
        <v>289</v>
      </c>
      <c r="AG4" s="10">
        <v>44798</v>
      </c>
      <c r="AH4" s="11">
        <v>38</v>
      </c>
      <c r="AI4" s="11">
        <v>4</v>
      </c>
      <c r="AJ4" s="11" t="s">
        <v>291</v>
      </c>
      <c r="AK4" s="11">
        <v>3115</v>
      </c>
      <c r="AL4" s="5">
        <v>396</v>
      </c>
      <c r="AM4" s="5">
        <v>356</v>
      </c>
      <c r="AN4" s="5">
        <v>55</v>
      </c>
      <c r="AO4" s="5">
        <v>269</v>
      </c>
      <c r="AP4" s="5">
        <v>71</v>
      </c>
      <c r="AQ4" s="5">
        <f t="shared" si="2"/>
        <v>101.01522842639594</v>
      </c>
      <c r="AR4" s="12">
        <v>122.3</v>
      </c>
      <c r="AS4" s="12">
        <v>113.72</v>
      </c>
      <c r="AT4" s="5">
        <f t="shared" si="3"/>
        <v>0.92984464431725267</v>
      </c>
      <c r="AU4" s="5">
        <v>1.04</v>
      </c>
    </row>
    <row r="5" spans="1:47" ht="19" x14ac:dyDescent="0.25">
      <c r="A5" s="5">
        <v>73</v>
      </c>
      <c r="B5" s="6" t="s">
        <v>244</v>
      </c>
      <c r="C5" s="7" t="s">
        <v>245</v>
      </c>
      <c r="D5" s="8">
        <v>26</v>
      </c>
      <c r="E5" s="8">
        <v>7</v>
      </c>
      <c r="F5" s="8">
        <v>4</v>
      </c>
      <c r="G5" s="8">
        <v>53</v>
      </c>
      <c r="H5" s="8">
        <v>49</v>
      </c>
      <c r="I5" s="8">
        <v>154</v>
      </c>
      <c r="J5" s="8">
        <v>20.7</v>
      </c>
      <c r="K5" s="8">
        <v>98</v>
      </c>
      <c r="L5" s="8">
        <v>53</v>
      </c>
      <c r="M5" s="8">
        <v>38.5</v>
      </c>
      <c r="N5" s="8">
        <v>13.6</v>
      </c>
      <c r="O5" s="8">
        <v>228</v>
      </c>
      <c r="P5" s="8">
        <v>80.400000000000006</v>
      </c>
      <c r="Q5" s="8">
        <v>134.19999999999999</v>
      </c>
      <c r="R5" s="8">
        <v>67</v>
      </c>
      <c r="S5" s="8">
        <v>3.7</v>
      </c>
      <c r="T5" s="8">
        <v>81.3</v>
      </c>
      <c r="U5" s="8">
        <v>77</v>
      </c>
      <c r="V5" s="13">
        <v>155.19999999999999</v>
      </c>
      <c r="W5" s="6" t="s">
        <v>246</v>
      </c>
      <c r="X5" s="9">
        <v>44902</v>
      </c>
      <c r="Y5" s="5">
        <v>35</v>
      </c>
      <c r="Z5" s="5">
        <v>0</v>
      </c>
      <c r="AA5" s="5">
        <v>27</v>
      </c>
      <c r="AB5" s="5">
        <v>54</v>
      </c>
      <c r="AC5" s="5">
        <v>1.54</v>
      </c>
      <c r="AD5" s="5">
        <f t="shared" si="0"/>
        <v>22.769438353853939</v>
      </c>
      <c r="AE5" s="5">
        <f t="shared" si="1"/>
        <v>5</v>
      </c>
      <c r="AF5" s="5" t="s">
        <v>292</v>
      </c>
      <c r="AG5" s="10">
        <v>44927</v>
      </c>
      <c r="AH5" s="11">
        <v>38</v>
      </c>
      <c r="AI5" s="11">
        <v>4</v>
      </c>
      <c r="AJ5" s="11" t="s">
        <v>290</v>
      </c>
      <c r="AK5" s="11">
        <v>3185</v>
      </c>
      <c r="AL5" s="5">
        <v>391</v>
      </c>
      <c r="AM5" s="5">
        <v>316</v>
      </c>
      <c r="AN5" s="5">
        <v>96</v>
      </c>
      <c r="AO5" s="5">
        <v>232</v>
      </c>
      <c r="AP5" s="5">
        <v>63</v>
      </c>
      <c r="AQ5" s="5">
        <f t="shared" si="2"/>
        <v>71.491228070175453</v>
      </c>
      <c r="AR5" s="12"/>
      <c r="AS5" s="12"/>
      <c r="AU5" s="5">
        <v>0.91</v>
      </c>
    </row>
    <row r="6" spans="1:47" ht="19" x14ac:dyDescent="0.25">
      <c r="A6" s="5">
        <v>76</v>
      </c>
      <c r="B6" s="6" t="s">
        <v>253</v>
      </c>
      <c r="C6" s="7" t="s">
        <v>254</v>
      </c>
      <c r="D6" s="8">
        <v>25</v>
      </c>
      <c r="E6" s="8">
        <v>10</v>
      </c>
      <c r="F6" s="8">
        <v>0</v>
      </c>
      <c r="G6" s="8">
        <v>70</v>
      </c>
      <c r="H6" s="8">
        <v>62</v>
      </c>
      <c r="I6" s="8">
        <v>163</v>
      </c>
      <c r="J6" s="8">
        <v>23.3</v>
      </c>
      <c r="K6" s="8">
        <v>106</v>
      </c>
      <c r="L6" s="8">
        <v>61</v>
      </c>
      <c r="M6" s="8">
        <v>39.6</v>
      </c>
      <c r="N6" s="8">
        <v>14.1</v>
      </c>
      <c r="O6" s="8">
        <v>215</v>
      </c>
      <c r="P6" s="8">
        <v>52.6</v>
      </c>
      <c r="Q6" s="8">
        <v>136.4</v>
      </c>
      <c r="R6" s="8">
        <v>130</v>
      </c>
      <c r="S6" s="8">
        <v>7.72</v>
      </c>
      <c r="T6" s="8">
        <v>82.5</v>
      </c>
      <c r="U6" s="8">
        <v>78.599999999999994</v>
      </c>
      <c r="V6" s="8">
        <v>100.7</v>
      </c>
      <c r="W6" s="6" t="s">
        <v>255</v>
      </c>
      <c r="X6" s="9">
        <v>44774</v>
      </c>
      <c r="Y6" s="5">
        <v>36</v>
      </c>
      <c r="Z6" s="5">
        <v>6</v>
      </c>
      <c r="AA6" s="5">
        <v>25</v>
      </c>
      <c r="AB6" s="5">
        <v>73</v>
      </c>
      <c r="AC6" s="5">
        <v>1.62</v>
      </c>
      <c r="AD6" s="5">
        <f t="shared" si="0"/>
        <v>27.815881725346742</v>
      </c>
      <c r="AE6" s="5">
        <f t="shared" si="1"/>
        <v>11</v>
      </c>
      <c r="AF6" s="5" t="s">
        <v>292</v>
      </c>
      <c r="AG6" s="10">
        <v>44800</v>
      </c>
      <c r="AH6" s="11">
        <v>40</v>
      </c>
      <c r="AI6" s="11">
        <v>4</v>
      </c>
      <c r="AJ6" s="11" t="s">
        <v>291</v>
      </c>
      <c r="AK6" s="11">
        <v>3390</v>
      </c>
      <c r="AL6" s="5">
        <v>374</v>
      </c>
      <c r="AM6" s="5">
        <v>350</v>
      </c>
      <c r="AN6" s="5">
        <v>53</v>
      </c>
      <c r="AO6" s="5">
        <v>255</v>
      </c>
      <c r="AP6" s="5">
        <v>65</v>
      </c>
      <c r="AQ6" s="5">
        <f t="shared" si="2"/>
        <v>73.953488372093034</v>
      </c>
      <c r="AR6" s="12">
        <v>101.35</v>
      </c>
      <c r="AS6" s="12">
        <v>167.73</v>
      </c>
      <c r="AT6" s="5">
        <f t="shared" si="3"/>
        <v>1.654958066107548</v>
      </c>
    </row>
    <row r="7" spans="1:47" ht="19" x14ac:dyDescent="0.25">
      <c r="A7" s="5">
        <v>21</v>
      </c>
      <c r="B7" s="6" t="s">
        <v>88</v>
      </c>
      <c r="C7" s="7" t="s">
        <v>89</v>
      </c>
      <c r="D7" s="8">
        <v>34</v>
      </c>
      <c r="E7" s="8">
        <v>10</v>
      </c>
      <c r="F7" s="8">
        <v>3</v>
      </c>
      <c r="G7" s="8">
        <v>73</v>
      </c>
      <c r="H7" s="8">
        <v>81</v>
      </c>
      <c r="I7" s="8">
        <v>170</v>
      </c>
      <c r="J7" s="8">
        <v>28</v>
      </c>
      <c r="K7" s="8">
        <v>125</v>
      </c>
      <c r="L7" s="8">
        <v>79</v>
      </c>
      <c r="M7" s="8">
        <v>39.200000000000003</v>
      </c>
      <c r="N7" s="8">
        <v>13.5</v>
      </c>
      <c r="O7" s="8">
        <v>199</v>
      </c>
      <c r="P7" s="8">
        <v>54.4</v>
      </c>
      <c r="Q7" s="8">
        <v>123.1</v>
      </c>
      <c r="R7" s="8">
        <v>107.3</v>
      </c>
      <c r="S7" s="8">
        <v>5.56</v>
      </c>
      <c r="T7" s="8">
        <v>84.4</v>
      </c>
      <c r="U7" s="8">
        <v>85.4</v>
      </c>
      <c r="V7" s="8">
        <v>69.7</v>
      </c>
      <c r="W7" s="6" t="s">
        <v>90</v>
      </c>
      <c r="X7" s="9">
        <v>45021</v>
      </c>
      <c r="Y7" s="5">
        <v>35</v>
      </c>
      <c r="Z7" s="5">
        <v>2</v>
      </c>
      <c r="AA7" s="5">
        <v>35</v>
      </c>
      <c r="AB7" s="5">
        <v>90</v>
      </c>
      <c r="AC7" s="5">
        <v>1.69</v>
      </c>
      <c r="AD7" s="5">
        <f t="shared" si="0"/>
        <v>31.511501698119819</v>
      </c>
      <c r="AE7" s="5">
        <f t="shared" si="1"/>
        <v>9</v>
      </c>
      <c r="AF7" s="5" t="s">
        <v>289</v>
      </c>
      <c r="AG7" s="14">
        <v>45036</v>
      </c>
      <c r="AH7" s="15">
        <v>37</v>
      </c>
      <c r="AI7" s="15">
        <v>2</v>
      </c>
      <c r="AJ7" s="15" t="s">
        <v>290</v>
      </c>
      <c r="AK7" s="15">
        <v>4000</v>
      </c>
      <c r="AL7" s="5">
        <v>355</v>
      </c>
      <c r="AM7" s="5">
        <v>311</v>
      </c>
      <c r="AN7" s="5">
        <v>72</v>
      </c>
      <c r="AO7" s="5">
        <v>220</v>
      </c>
      <c r="AP7" s="5">
        <v>62</v>
      </c>
      <c r="AQ7" s="5">
        <f t="shared" si="2"/>
        <v>78.391959798994975</v>
      </c>
      <c r="AR7" s="12">
        <v>108.3</v>
      </c>
      <c r="AS7" s="12">
        <v>104.24</v>
      </c>
      <c r="AT7" s="5">
        <f t="shared" si="3"/>
        <v>0.96251154201292699</v>
      </c>
      <c r="AU7" s="5">
        <v>0.77</v>
      </c>
    </row>
    <row r="8" spans="1:47" ht="19" x14ac:dyDescent="0.25">
      <c r="A8" s="5">
        <v>17</v>
      </c>
      <c r="B8" s="6" t="s">
        <v>76</v>
      </c>
      <c r="C8" s="7" t="s">
        <v>77</v>
      </c>
      <c r="D8" s="8">
        <v>35</v>
      </c>
      <c r="E8" s="8">
        <v>8</v>
      </c>
      <c r="F8" s="8">
        <v>5</v>
      </c>
      <c r="G8" s="8">
        <v>61</v>
      </c>
      <c r="H8" s="8">
        <v>71</v>
      </c>
      <c r="I8" s="8">
        <v>164</v>
      </c>
      <c r="J8" s="8">
        <v>26.4</v>
      </c>
      <c r="K8" s="8">
        <v>94</v>
      </c>
      <c r="L8" s="8">
        <v>54</v>
      </c>
      <c r="M8" s="8">
        <v>33.5</v>
      </c>
      <c r="N8" s="8">
        <v>11</v>
      </c>
      <c r="O8" s="8">
        <v>230</v>
      </c>
      <c r="P8" s="8">
        <v>86.7</v>
      </c>
      <c r="Q8" s="8">
        <v>113.4</v>
      </c>
      <c r="R8" s="8">
        <v>149.6</v>
      </c>
      <c r="S8" s="8">
        <v>5.46</v>
      </c>
      <c r="T8" s="8">
        <v>76.900000000000006</v>
      </c>
      <c r="U8" s="8"/>
      <c r="V8" s="8"/>
      <c r="W8" s="6" t="s">
        <v>78</v>
      </c>
      <c r="X8" s="9">
        <v>45027</v>
      </c>
      <c r="Y8" s="5">
        <v>34</v>
      </c>
      <c r="Z8" s="5">
        <v>6</v>
      </c>
      <c r="AA8" s="5">
        <v>35</v>
      </c>
      <c r="AB8" s="5">
        <v>85</v>
      </c>
      <c r="AC8" s="5">
        <v>1.65</v>
      </c>
      <c r="AD8" s="5">
        <f t="shared" si="0"/>
        <v>31.221303948576679</v>
      </c>
      <c r="AE8" s="5">
        <f t="shared" si="1"/>
        <v>14</v>
      </c>
      <c r="AF8" s="5" t="s">
        <v>289</v>
      </c>
      <c r="AG8" s="14">
        <v>45052</v>
      </c>
      <c r="AH8" s="15">
        <v>38</v>
      </c>
      <c r="AI8" s="15">
        <v>4</v>
      </c>
      <c r="AJ8" s="15" t="s">
        <v>291</v>
      </c>
      <c r="AK8" s="15">
        <v>2690</v>
      </c>
      <c r="AL8" s="5">
        <v>342</v>
      </c>
      <c r="AM8" s="5">
        <v>184</v>
      </c>
      <c r="AN8" s="5">
        <v>131</v>
      </c>
      <c r="AO8" s="5">
        <v>174</v>
      </c>
      <c r="AP8" s="5">
        <v>37</v>
      </c>
      <c r="AQ8" s="5">
        <f t="shared" si="2"/>
        <v>48.695652173913032</v>
      </c>
      <c r="AR8" s="16"/>
      <c r="AS8" s="12">
        <v>116.51</v>
      </c>
      <c r="AU8" s="5">
        <v>2.11</v>
      </c>
    </row>
    <row r="9" spans="1:47" ht="19" x14ac:dyDescent="0.25">
      <c r="A9" s="5">
        <v>61</v>
      </c>
      <c r="B9" s="6" t="s">
        <v>208</v>
      </c>
      <c r="C9" s="7" t="s">
        <v>209</v>
      </c>
      <c r="D9" s="8">
        <v>29</v>
      </c>
      <c r="E9" s="8">
        <v>8</v>
      </c>
      <c r="F9" s="8">
        <v>5</v>
      </c>
      <c r="G9" s="8">
        <v>61</v>
      </c>
      <c r="H9" s="8">
        <v>53</v>
      </c>
      <c r="I9" s="8">
        <v>167</v>
      </c>
      <c r="J9" s="8">
        <v>19</v>
      </c>
      <c r="K9" s="8">
        <v>135</v>
      </c>
      <c r="L9" s="8">
        <v>99</v>
      </c>
      <c r="M9" s="8">
        <v>41.6</v>
      </c>
      <c r="N9" s="8">
        <v>14.6</v>
      </c>
      <c r="O9" s="8">
        <v>154</v>
      </c>
      <c r="P9" s="8">
        <v>67.599999999999994</v>
      </c>
      <c r="Q9" s="8">
        <v>73.8</v>
      </c>
      <c r="R9" s="8">
        <v>63</v>
      </c>
      <c r="S9" s="8">
        <v>3.34</v>
      </c>
      <c r="T9" s="8">
        <v>69.599999999999994</v>
      </c>
      <c r="U9" s="8"/>
      <c r="V9" s="8"/>
      <c r="W9" s="6" t="s">
        <v>210</v>
      </c>
      <c r="X9" s="9">
        <v>45043</v>
      </c>
      <c r="Y9" s="5">
        <v>35</v>
      </c>
      <c r="Z9" s="5">
        <v>0</v>
      </c>
      <c r="AA9" s="5">
        <v>30</v>
      </c>
      <c r="AB9" s="5">
        <v>70</v>
      </c>
      <c r="AC9" s="5">
        <v>1.67</v>
      </c>
      <c r="AD9" s="5">
        <f t="shared" si="0"/>
        <v>25.099501595611173</v>
      </c>
      <c r="AE9" s="5">
        <f t="shared" si="1"/>
        <v>17</v>
      </c>
      <c r="AF9" s="5" t="s">
        <v>289</v>
      </c>
      <c r="AG9" s="14">
        <v>45064</v>
      </c>
      <c r="AH9" s="15">
        <v>38</v>
      </c>
      <c r="AI9" s="15">
        <v>0</v>
      </c>
      <c r="AJ9" s="15" t="s">
        <v>291</v>
      </c>
      <c r="AK9" s="15">
        <v>3135</v>
      </c>
      <c r="AL9" s="5">
        <v>331</v>
      </c>
      <c r="AM9" s="5">
        <v>232</v>
      </c>
      <c r="AN9" s="17">
        <f>-AO7116</f>
        <v>0</v>
      </c>
      <c r="AO9" s="5">
        <v>81</v>
      </c>
      <c r="AP9" s="5">
        <v>0</v>
      </c>
      <c r="AQ9" s="5">
        <f t="shared" si="2"/>
        <v>114.93506493506493</v>
      </c>
      <c r="AR9" s="12">
        <v>114.64</v>
      </c>
      <c r="AS9" s="12">
        <v>75.03</v>
      </c>
      <c r="AT9" s="5">
        <f t="shared" si="3"/>
        <v>0.65448360083740409</v>
      </c>
      <c r="AU9" s="5">
        <v>0.84</v>
      </c>
    </row>
    <row r="10" spans="1:47" ht="19" x14ac:dyDescent="0.25">
      <c r="A10" s="5">
        <v>54</v>
      </c>
      <c r="B10" s="6" t="s">
        <v>187</v>
      </c>
      <c r="C10" s="7" t="s">
        <v>188</v>
      </c>
      <c r="D10" s="8">
        <v>31</v>
      </c>
      <c r="E10" s="8">
        <v>8</v>
      </c>
      <c r="F10" s="8">
        <v>1</v>
      </c>
      <c r="G10" s="8">
        <v>57</v>
      </c>
      <c r="H10" s="8">
        <v>65</v>
      </c>
      <c r="I10" s="8">
        <v>173</v>
      </c>
      <c r="J10" s="8">
        <v>21.7</v>
      </c>
      <c r="K10" s="8">
        <v>110</v>
      </c>
      <c r="L10" s="8">
        <v>74</v>
      </c>
      <c r="M10" s="8">
        <v>36.6</v>
      </c>
      <c r="N10" s="8">
        <v>12.8</v>
      </c>
      <c r="O10" s="8">
        <v>195</v>
      </c>
      <c r="P10" s="8">
        <v>55.5</v>
      </c>
      <c r="Q10" s="8">
        <v>127.5</v>
      </c>
      <c r="R10" s="8">
        <v>60</v>
      </c>
      <c r="S10" s="8">
        <v>8.0399999999999991</v>
      </c>
      <c r="T10" s="8">
        <v>73.5</v>
      </c>
      <c r="U10" s="8">
        <v>78</v>
      </c>
      <c r="V10" s="8">
        <v>92</v>
      </c>
      <c r="W10" s="6" t="s">
        <v>189</v>
      </c>
      <c r="X10" s="9">
        <v>44914</v>
      </c>
      <c r="Y10" s="5">
        <v>37</v>
      </c>
      <c r="Z10" s="5">
        <v>1</v>
      </c>
      <c r="AA10" s="5">
        <v>31</v>
      </c>
      <c r="AB10" s="5">
        <v>84.3</v>
      </c>
      <c r="AC10" s="5">
        <v>1.74</v>
      </c>
      <c r="AD10" s="5">
        <f t="shared" si="0"/>
        <v>27.843836702338486</v>
      </c>
      <c r="AE10" s="5">
        <f t="shared" si="1"/>
        <v>19.299999999999997</v>
      </c>
      <c r="AF10" s="5" t="s">
        <v>292</v>
      </c>
      <c r="AG10" s="18">
        <v>44914</v>
      </c>
      <c r="AH10" s="11">
        <v>37</v>
      </c>
      <c r="AI10" s="11">
        <v>1</v>
      </c>
      <c r="AJ10" s="11" t="s">
        <v>290</v>
      </c>
      <c r="AK10" s="11">
        <v>2515</v>
      </c>
      <c r="AL10" s="5">
        <v>327</v>
      </c>
      <c r="AM10" s="5">
        <v>214</v>
      </c>
      <c r="AN10" s="5">
        <v>82</v>
      </c>
      <c r="AO10" s="5">
        <v>201</v>
      </c>
      <c r="AP10" s="5">
        <v>42</v>
      </c>
      <c r="AQ10" s="5">
        <f t="shared" si="2"/>
        <v>67.692307692307679</v>
      </c>
      <c r="AR10" s="12">
        <v>111.11</v>
      </c>
      <c r="AS10" s="12">
        <v>125.31</v>
      </c>
      <c r="AT10" s="5">
        <f t="shared" si="3"/>
        <v>1.1278012780127802</v>
      </c>
      <c r="AU10" s="5">
        <v>0.56999999999999995</v>
      </c>
    </row>
    <row r="11" spans="1:47" ht="19" x14ac:dyDescent="0.25">
      <c r="A11" s="5">
        <v>45</v>
      </c>
      <c r="B11" s="6" t="s">
        <v>160</v>
      </c>
      <c r="C11" s="7" t="s">
        <v>161</v>
      </c>
      <c r="D11" s="8">
        <v>32</v>
      </c>
      <c r="E11" s="8">
        <v>9</v>
      </c>
      <c r="F11" s="8">
        <v>3</v>
      </c>
      <c r="G11" s="8">
        <v>66</v>
      </c>
      <c r="H11" s="8">
        <v>59</v>
      </c>
      <c r="I11" s="8">
        <v>153</v>
      </c>
      <c r="J11" s="8">
        <v>25.2</v>
      </c>
      <c r="K11" s="8">
        <v>119</v>
      </c>
      <c r="L11" s="8">
        <v>78</v>
      </c>
      <c r="M11" s="8">
        <v>38.299999999999997</v>
      </c>
      <c r="N11" s="8">
        <v>13.7</v>
      </c>
      <c r="O11" s="8">
        <v>192</v>
      </c>
      <c r="P11" s="8">
        <v>70.5</v>
      </c>
      <c r="Q11" s="8">
        <v>99.7</v>
      </c>
      <c r="R11" s="8">
        <v>109</v>
      </c>
      <c r="S11" s="8">
        <v>7.3</v>
      </c>
      <c r="T11" s="8">
        <v>79.400000000000006</v>
      </c>
      <c r="U11" s="8">
        <v>81.2</v>
      </c>
      <c r="V11" s="8">
        <v>89.8</v>
      </c>
      <c r="W11" s="6" t="s">
        <v>162</v>
      </c>
      <c r="X11" s="9">
        <v>44785</v>
      </c>
      <c r="Y11" s="5">
        <v>36</v>
      </c>
      <c r="Z11" s="5">
        <v>6</v>
      </c>
      <c r="AA11" s="5">
        <v>32</v>
      </c>
      <c r="AB11" s="5">
        <v>72.599999999999994</v>
      </c>
      <c r="AC11" s="5">
        <v>1.52</v>
      </c>
      <c r="AD11" s="5">
        <f t="shared" si="0"/>
        <v>31.423130193905816</v>
      </c>
      <c r="AE11" s="5">
        <f t="shared" si="1"/>
        <v>13.599999999999994</v>
      </c>
      <c r="AF11" s="5" t="s">
        <v>293</v>
      </c>
      <c r="AG11" s="10">
        <v>44797</v>
      </c>
      <c r="AH11" s="11">
        <v>38</v>
      </c>
      <c r="AI11" s="11">
        <v>4</v>
      </c>
      <c r="AJ11" s="11" t="s">
        <v>290</v>
      </c>
      <c r="AK11" s="11">
        <v>3235</v>
      </c>
      <c r="AL11" s="5">
        <v>326</v>
      </c>
      <c r="AM11" s="5">
        <v>319</v>
      </c>
      <c r="AN11" s="5">
        <v>75</v>
      </c>
      <c r="AO11" s="5">
        <v>187</v>
      </c>
      <c r="AP11" s="5">
        <v>63</v>
      </c>
      <c r="AQ11" s="5">
        <f t="shared" si="2"/>
        <v>69.791666666666657</v>
      </c>
      <c r="AR11" s="12">
        <v>112.8</v>
      </c>
      <c r="AS11" s="12">
        <v>113.72</v>
      </c>
      <c r="AT11" s="5">
        <f t="shared" si="3"/>
        <v>1.0081560283687943</v>
      </c>
      <c r="AU11" s="5">
        <v>0.97</v>
      </c>
    </row>
    <row r="12" spans="1:47" ht="19" x14ac:dyDescent="0.25">
      <c r="A12" s="5">
        <v>56</v>
      </c>
      <c r="B12" s="6" t="s">
        <v>193</v>
      </c>
      <c r="C12" s="7" t="s">
        <v>194</v>
      </c>
      <c r="D12" s="8">
        <v>29</v>
      </c>
      <c r="E12" s="8">
        <v>10</v>
      </c>
      <c r="F12" s="8">
        <v>1</v>
      </c>
      <c r="G12" s="8">
        <v>71</v>
      </c>
      <c r="H12" s="8">
        <v>54</v>
      </c>
      <c r="I12" s="8">
        <v>162</v>
      </c>
      <c r="J12" s="8">
        <v>20.6</v>
      </c>
      <c r="K12" s="8">
        <v>89</v>
      </c>
      <c r="L12" s="8">
        <v>60</v>
      </c>
      <c r="M12" s="8">
        <v>38.5</v>
      </c>
      <c r="N12" s="8">
        <v>13.3</v>
      </c>
      <c r="O12" s="8">
        <v>197</v>
      </c>
      <c r="P12" s="8">
        <v>49.8</v>
      </c>
      <c r="Q12" s="8">
        <v>130</v>
      </c>
      <c r="R12" s="8">
        <v>86</v>
      </c>
      <c r="S12" s="8">
        <v>4.08</v>
      </c>
      <c r="T12" s="8">
        <v>80.099999999999994</v>
      </c>
      <c r="U12" s="8">
        <v>88.9</v>
      </c>
      <c r="V12" s="8">
        <v>110.5</v>
      </c>
      <c r="W12" s="6" t="s">
        <v>195</v>
      </c>
      <c r="X12" s="9">
        <v>44942</v>
      </c>
      <c r="Y12" s="5">
        <v>36</v>
      </c>
      <c r="Z12" s="5">
        <v>4</v>
      </c>
      <c r="AA12" s="5">
        <v>29</v>
      </c>
      <c r="AB12" s="5">
        <v>67.5</v>
      </c>
      <c r="AC12" s="5">
        <v>1.63</v>
      </c>
      <c r="AD12" s="5">
        <f t="shared" si="0"/>
        <v>25.405547818886674</v>
      </c>
      <c r="AE12" s="5">
        <f t="shared" si="1"/>
        <v>13.5</v>
      </c>
      <c r="AF12" s="5" t="s">
        <v>289</v>
      </c>
      <c r="AG12" s="10">
        <v>44965</v>
      </c>
      <c r="AH12" s="11">
        <v>40</v>
      </c>
      <c r="AI12" s="11">
        <v>0</v>
      </c>
      <c r="AJ12" s="11" t="s">
        <v>290</v>
      </c>
      <c r="AK12" s="11">
        <v>3620</v>
      </c>
      <c r="AL12" s="5">
        <v>323</v>
      </c>
      <c r="AM12" s="5">
        <v>366</v>
      </c>
      <c r="AN12" s="5">
        <v>42</v>
      </c>
      <c r="AO12" s="5">
        <v>207</v>
      </c>
      <c r="AP12" s="5">
        <v>73</v>
      </c>
      <c r="AQ12" s="5">
        <f t="shared" si="2"/>
        <v>63.959390862944161</v>
      </c>
      <c r="AR12" s="12">
        <v>107.05</v>
      </c>
      <c r="AS12" s="12">
        <v>123.59</v>
      </c>
      <c r="AT12" s="5">
        <f t="shared" si="3"/>
        <v>1.1545072396076601</v>
      </c>
      <c r="AU12" s="5">
        <v>1.1100000000000001</v>
      </c>
    </row>
    <row r="13" spans="1:47" ht="19" x14ac:dyDescent="0.25">
      <c r="A13" s="5">
        <v>62</v>
      </c>
      <c r="B13" s="6" t="s">
        <v>211</v>
      </c>
      <c r="C13" s="7" t="s">
        <v>212</v>
      </c>
      <c r="D13" s="8">
        <v>29</v>
      </c>
      <c r="E13" s="8">
        <v>10</v>
      </c>
      <c r="F13" s="8">
        <v>0</v>
      </c>
      <c r="G13" s="8">
        <v>70</v>
      </c>
      <c r="H13" s="8">
        <v>61</v>
      </c>
      <c r="I13" s="8">
        <v>168</v>
      </c>
      <c r="J13" s="8">
        <v>21.6</v>
      </c>
      <c r="K13" s="8">
        <v>110</v>
      </c>
      <c r="L13" s="8">
        <v>66</v>
      </c>
      <c r="M13" s="8">
        <v>34.1</v>
      </c>
      <c r="N13" s="8">
        <v>12.1</v>
      </c>
      <c r="O13" s="8">
        <v>199</v>
      </c>
      <c r="P13" s="8">
        <v>64.900000000000006</v>
      </c>
      <c r="Q13" s="8">
        <v>119.3</v>
      </c>
      <c r="R13" s="8">
        <v>74</v>
      </c>
      <c r="S13" s="8">
        <v>3.69</v>
      </c>
      <c r="T13" s="8">
        <v>76.599999999999994</v>
      </c>
      <c r="U13" s="8">
        <v>71</v>
      </c>
      <c r="V13" s="8">
        <v>59</v>
      </c>
      <c r="W13" s="6" t="s">
        <v>213</v>
      </c>
      <c r="X13" s="9">
        <v>44867</v>
      </c>
      <c r="Y13" s="5">
        <v>36</v>
      </c>
      <c r="Z13" s="5">
        <v>4</v>
      </c>
      <c r="AA13" s="5">
        <v>30</v>
      </c>
      <c r="AB13" s="5">
        <v>70</v>
      </c>
      <c r="AC13" s="5">
        <v>1.68</v>
      </c>
      <c r="AD13" s="5">
        <f t="shared" si="0"/>
        <v>24.801587301587304</v>
      </c>
      <c r="AE13" s="5">
        <f t="shared" si="1"/>
        <v>9</v>
      </c>
      <c r="AF13" s="5" t="s">
        <v>289</v>
      </c>
      <c r="AG13" s="18">
        <v>44890</v>
      </c>
      <c r="AH13" s="11">
        <v>39</v>
      </c>
      <c r="AI13" s="11">
        <v>6</v>
      </c>
      <c r="AJ13" s="11" t="s">
        <v>291</v>
      </c>
      <c r="AK13" s="11">
        <v>3025</v>
      </c>
      <c r="AL13" s="5">
        <v>319</v>
      </c>
      <c r="AM13" s="5">
        <v>269</v>
      </c>
      <c r="AN13" s="5">
        <v>67</v>
      </c>
      <c r="AO13" s="5">
        <v>197</v>
      </c>
      <c r="AP13" s="5">
        <v>54</v>
      </c>
      <c r="AQ13" s="5">
        <f t="shared" si="2"/>
        <v>60.301507537688451</v>
      </c>
      <c r="AR13" s="12">
        <v>123.03</v>
      </c>
      <c r="AS13" s="12">
        <v>112.43</v>
      </c>
      <c r="AT13" s="5">
        <f t="shared" si="3"/>
        <v>0.91384215232057231</v>
      </c>
      <c r="AU13" s="5">
        <v>1.51</v>
      </c>
    </row>
    <row r="14" spans="1:47" ht="19" x14ac:dyDescent="0.25">
      <c r="A14" s="5">
        <v>48</v>
      </c>
      <c r="B14" s="6" t="s">
        <v>169</v>
      </c>
      <c r="C14" s="7" t="s">
        <v>170</v>
      </c>
      <c r="D14" s="8">
        <v>31</v>
      </c>
      <c r="E14" s="8">
        <v>6</v>
      </c>
      <c r="F14" s="8">
        <v>4</v>
      </c>
      <c r="G14" s="8">
        <v>46</v>
      </c>
      <c r="H14" s="8">
        <v>58</v>
      </c>
      <c r="I14" s="8">
        <v>154</v>
      </c>
      <c r="J14" s="8">
        <v>24.5</v>
      </c>
      <c r="K14" s="8">
        <v>119</v>
      </c>
      <c r="L14" s="8">
        <v>73</v>
      </c>
      <c r="M14" s="8">
        <v>36.9</v>
      </c>
      <c r="N14" s="8">
        <v>13.2</v>
      </c>
      <c r="O14" s="8">
        <v>187</v>
      </c>
      <c r="P14" s="8">
        <v>42.9</v>
      </c>
      <c r="Q14" s="8">
        <v>133.1</v>
      </c>
      <c r="R14" s="8">
        <v>55</v>
      </c>
      <c r="S14" s="8">
        <v>3.05</v>
      </c>
      <c r="T14" s="8">
        <v>81.8</v>
      </c>
      <c r="U14" s="8">
        <v>84.3</v>
      </c>
      <c r="V14" s="8">
        <v>105.2</v>
      </c>
      <c r="W14" s="6" t="s">
        <v>171</v>
      </c>
      <c r="X14" s="9">
        <v>44811</v>
      </c>
      <c r="Y14" s="5">
        <v>35</v>
      </c>
      <c r="Z14" s="5">
        <v>5</v>
      </c>
      <c r="AA14" s="5">
        <v>32</v>
      </c>
      <c r="AB14" s="5">
        <v>80</v>
      </c>
      <c r="AC14" s="5">
        <v>1.54</v>
      </c>
      <c r="AD14" s="5">
        <f t="shared" si="0"/>
        <v>33.732501264968796</v>
      </c>
      <c r="AE14" s="5">
        <f t="shared" si="1"/>
        <v>22</v>
      </c>
      <c r="AF14" s="5" t="s">
        <v>289</v>
      </c>
      <c r="AG14" s="10">
        <v>44827</v>
      </c>
      <c r="AH14" s="11">
        <v>38</v>
      </c>
      <c r="AI14" s="11">
        <v>0</v>
      </c>
      <c r="AJ14" s="11" t="s">
        <v>291</v>
      </c>
      <c r="AK14" s="11">
        <v>3070</v>
      </c>
      <c r="AL14" s="5">
        <v>318</v>
      </c>
      <c r="AM14" s="5">
        <v>362</v>
      </c>
      <c r="AN14" s="5">
        <v>55</v>
      </c>
      <c r="AO14" s="5">
        <v>189</v>
      </c>
      <c r="AP14" s="5">
        <v>72</v>
      </c>
      <c r="AQ14" s="5">
        <f t="shared" si="2"/>
        <v>70.053475935828885</v>
      </c>
      <c r="AR14" s="12">
        <v>86.88</v>
      </c>
      <c r="AS14" s="12">
        <v>105.53</v>
      </c>
      <c r="AT14" s="5">
        <f t="shared" si="3"/>
        <v>1.2146639042357275</v>
      </c>
      <c r="AU14" s="5">
        <v>0.77</v>
      </c>
    </row>
    <row r="15" spans="1:47" ht="19" x14ac:dyDescent="0.25">
      <c r="A15" s="5">
        <v>10</v>
      </c>
      <c r="B15" s="6" t="s">
        <v>55</v>
      </c>
      <c r="C15" s="7" t="s">
        <v>56</v>
      </c>
      <c r="D15" s="8">
        <v>37</v>
      </c>
      <c r="E15" s="8">
        <v>10</v>
      </c>
      <c r="F15" s="8">
        <v>5</v>
      </c>
      <c r="G15" s="8">
        <v>82</v>
      </c>
      <c r="H15" s="8">
        <v>49</v>
      </c>
      <c r="I15" s="8">
        <v>163</v>
      </c>
      <c r="J15" s="8">
        <v>18.8</v>
      </c>
      <c r="K15" s="8">
        <v>100</v>
      </c>
      <c r="L15" s="8">
        <v>48</v>
      </c>
      <c r="M15" s="8">
        <v>37.299999999999997</v>
      </c>
      <c r="N15" s="8">
        <v>13.3</v>
      </c>
      <c r="O15" s="8">
        <v>197</v>
      </c>
      <c r="P15" s="8">
        <v>81.099999999999994</v>
      </c>
      <c r="Q15" s="8">
        <v>86</v>
      </c>
      <c r="R15" s="8">
        <v>98.7</v>
      </c>
      <c r="S15" s="8">
        <v>3.2</v>
      </c>
      <c r="T15" s="8">
        <v>77</v>
      </c>
      <c r="U15" s="8">
        <v>70</v>
      </c>
      <c r="V15" s="8">
        <v>120</v>
      </c>
      <c r="W15" s="6" t="s">
        <v>57</v>
      </c>
      <c r="X15" s="9">
        <v>44859</v>
      </c>
      <c r="Y15" s="5">
        <v>36</v>
      </c>
      <c r="Z15" s="5">
        <v>0</v>
      </c>
      <c r="AA15" s="5">
        <v>37</v>
      </c>
      <c r="AB15" s="5">
        <v>64</v>
      </c>
      <c r="AC15" s="5">
        <v>1.63</v>
      </c>
      <c r="AD15" s="5">
        <f t="shared" si="0"/>
        <v>24.088223117166624</v>
      </c>
      <c r="AE15" s="5">
        <f t="shared" si="1"/>
        <v>15</v>
      </c>
      <c r="AF15" s="5" t="s">
        <v>289</v>
      </c>
      <c r="AG15" s="10">
        <v>44872</v>
      </c>
      <c r="AH15" s="11">
        <v>39</v>
      </c>
      <c r="AI15" s="11">
        <v>0</v>
      </c>
      <c r="AJ15" s="11" t="s">
        <v>290</v>
      </c>
      <c r="AK15" s="11">
        <v>3955</v>
      </c>
      <c r="AL15" s="5">
        <v>318</v>
      </c>
      <c r="AM15" s="5">
        <v>256</v>
      </c>
      <c r="AN15" s="5">
        <v>62</v>
      </c>
      <c r="AO15" s="5">
        <v>203</v>
      </c>
      <c r="AP15" s="5">
        <v>50</v>
      </c>
      <c r="AQ15" s="5">
        <f t="shared" si="2"/>
        <v>61.421319796954322</v>
      </c>
      <c r="AR15" s="12">
        <v>134.36000000000001</v>
      </c>
      <c r="AS15" s="12">
        <v>101.65</v>
      </c>
      <c r="AT15" s="5">
        <f t="shared" si="3"/>
        <v>0.75654956832390585</v>
      </c>
      <c r="AU15" s="5">
        <v>1.24</v>
      </c>
    </row>
    <row r="16" spans="1:47" ht="19" x14ac:dyDescent="0.25">
      <c r="A16" s="5">
        <v>52</v>
      </c>
      <c r="B16" s="6" t="s">
        <v>181</v>
      </c>
      <c r="C16" s="7" t="s">
        <v>182</v>
      </c>
      <c r="D16" s="8">
        <v>30</v>
      </c>
      <c r="E16" s="8">
        <v>9</v>
      </c>
      <c r="F16" s="8">
        <v>5</v>
      </c>
      <c r="G16" s="8">
        <v>68</v>
      </c>
      <c r="H16" s="8">
        <v>60</v>
      </c>
      <c r="I16" s="8">
        <v>172</v>
      </c>
      <c r="J16" s="8">
        <v>20.3</v>
      </c>
      <c r="K16" s="8">
        <v>107</v>
      </c>
      <c r="L16" s="8">
        <v>72</v>
      </c>
      <c r="M16" s="8">
        <v>37.6</v>
      </c>
      <c r="N16" s="8">
        <v>12.9</v>
      </c>
      <c r="O16" s="8">
        <v>196</v>
      </c>
      <c r="P16" s="8">
        <v>59</v>
      </c>
      <c r="Q16" s="8">
        <v>118.4</v>
      </c>
      <c r="R16" s="8">
        <v>93</v>
      </c>
      <c r="S16" s="8">
        <v>2.4300000000000002</v>
      </c>
      <c r="T16" s="8">
        <v>69.8</v>
      </c>
      <c r="U16" s="8"/>
      <c r="V16" s="8"/>
      <c r="W16" s="6" t="s">
        <v>183</v>
      </c>
      <c r="X16" s="9">
        <v>44795</v>
      </c>
      <c r="Y16" s="5">
        <v>36</v>
      </c>
      <c r="Z16" s="5">
        <v>1</v>
      </c>
      <c r="AA16" s="5">
        <v>31</v>
      </c>
      <c r="AB16" s="5">
        <v>82</v>
      </c>
      <c r="AC16" s="5">
        <v>1.72</v>
      </c>
      <c r="AD16" s="5">
        <f t="shared" si="0"/>
        <v>27.717685235262305</v>
      </c>
      <c r="AE16" s="5">
        <f t="shared" si="1"/>
        <v>22</v>
      </c>
      <c r="AF16" s="5" t="s">
        <v>289</v>
      </c>
      <c r="AG16" s="10">
        <v>44810</v>
      </c>
      <c r="AH16" s="11">
        <v>38</v>
      </c>
      <c r="AI16" s="11">
        <v>2</v>
      </c>
      <c r="AJ16" s="11" t="s">
        <v>291</v>
      </c>
      <c r="AK16" s="11">
        <v>4065</v>
      </c>
      <c r="AL16" s="5">
        <v>314</v>
      </c>
      <c r="AM16" s="5">
        <v>308</v>
      </c>
      <c r="AN16" s="5">
        <v>62</v>
      </c>
      <c r="AO16" s="5">
        <v>190</v>
      </c>
      <c r="AP16" s="5">
        <v>61</v>
      </c>
      <c r="AQ16" s="5">
        <f t="shared" si="2"/>
        <v>60.204081632653072</v>
      </c>
      <c r="AR16" s="12">
        <v>107.56</v>
      </c>
      <c r="AS16" s="12">
        <v>119.3</v>
      </c>
      <c r="AT16" s="5">
        <f t="shared" si="3"/>
        <v>1.1091483822982522</v>
      </c>
      <c r="AU16" s="5">
        <v>0.56999999999999995</v>
      </c>
    </row>
    <row r="17" spans="1:47" ht="19" x14ac:dyDescent="0.25">
      <c r="A17" s="5">
        <v>49</v>
      </c>
      <c r="B17" s="6" t="s">
        <v>172</v>
      </c>
      <c r="C17" s="7" t="s">
        <v>173</v>
      </c>
      <c r="D17" s="8">
        <v>31</v>
      </c>
      <c r="E17" s="8">
        <v>12</v>
      </c>
      <c r="F17" s="8">
        <v>1</v>
      </c>
      <c r="G17" s="8">
        <v>85</v>
      </c>
      <c r="H17" s="8">
        <v>49</v>
      </c>
      <c r="I17" s="8">
        <v>155</v>
      </c>
      <c r="J17" s="8">
        <v>20.399999999999999</v>
      </c>
      <c r="K17" s="8">
        <v>95</v>
      </c>
      <c r="L17" s="8">
        <v>58</v>
      </c>
      <c r="M17" s="8">
        <v>37.9</v>
      </c>
      <c r="N17" s="8">
        <v>13.3</v>
      </c>
      <c r="O17" s="8">
        <v>221</v>
      </c>
      <c r="P17" s="8">
        <v>88.2</v>
      </c>
      <c r="Q17" s="8">
        <v>133</v>
      </c>
      <c r="R17" s="8">
        <v>106.2</v>
      </c>
      <c r="S17" s="8">
        <v>3.3</v>
      </c>
      <c r="T17" s="8">
        <v>70</v>
      </c>
      <c r="U17" s="8">
        <v>80</v>
      </c>
      <c r="V17" s="13">
        <v>123</v>
      </c>
      <c r="W17" s="6" t="s">
        <v>174</v>
      </c>
      <c r="X17" s="9">
        <v>44798</v>
      </c>
      <c r="Y17" s="5">
        <v>36</v>
      </c>
      <c r="Z17" s="5">
        <v>5</v>
      </c>
      <c r="AA17" s="5">
        <v>31</v>
      </c>
      <c r="AB17" s="5">
        <v>57</v>
      </c>
      <c r="AC17" s="5">
        <v>1.58</v>
      </c>
      <c r="AD17" s="5">
        <f t="shared" si="0"/>
        <v>22.832879346258608</v>
      </c>
      <c r="AE17" s="5">
        <f t="shared" si="1"/>
        <v>8</v>
      </c>
      <c r="AF17" s="5" t="s">
        <v>294</v>
      </c>
      <c r="AG17" s="10">
        <v>44816</v>
      </c>
      <c r="AH17" s="11">
        <v>39</v>
      </c>
      <c r="AI17" s="11">
        <v>3</v>
      </c>
      <c r="AJ17" s="11" t="s">
        <v>290</v>
      </c>
      <c r="AK17" s="11">
        <v>3140</v>
      </c>
      <c r="AL17" s="5">
        <v>311</v>
      </c>
      <c r="AM17" s="5">
        <v>274</v>
      </c>
      <c r="AN17" s="5">
        <v>97</v>
      </c>
      <c r="AO17" s="5">
        <v>159</v>
      </c>
      <c r="AP17" s="5">
        <v>55</v>
      </c>
      <c r="AQ17" s="5">
        <f t="shared" si="2"/>
        <v>40.723981900452486</v>
      </c>
      <c r="AR17" s="12">
        <v>152.22999999999999</v>
      </c>
      <c r="AS17" s="12">
        <v>111.13</v>
      </c>
      <c r="AT17" s="5">
        <f t="shared" si="3"/>
        <v>0.73001379491558827</v>
      </c>
      <c r="AU17" s="5">
        <v>0.37</v>
      </c>
    </row>
    <row r="18" spans="1:47" ht="19" x14ac:dyDescent="0.25">
      <c r="A18" s="5">
        <v>67</v>
      </c>
      <c r="B18" s="6" t="s">
        <v>226</v>
      </c>
      <c r="C18" s="7" t="s">
        <v>227</v>
      </c>
      <c r="D18" s="8">
        <v>29</v>
      </c>
      <c r="E18" s="8">
        <v>8</v>
      </c>
      <c r="F18" s="8">
        <v>4</v>
      </c>
      <c r="G18" s="8">
        <v>60</v>
      </c>
      <c r="H18" s="8">
        <v>89</v>
      </c>
      <c r="I18" s="8">
        <v>176</v>
      </c>
      <c r="J18" s="8">
        <v>28.7</v>
      </c>
      <c r="K18" s="8">
        <v>126</v>
      </c>
      <c r="L18" s="8">
        <v>74</v>
      </c>
      <c r="M18" s="8">
        <v>38.1</v>
      </c>
      <c r="N18" s="8">
        <v>13.2</v>
      </c>
      <c r="O18" s="8">
        <v>215</v>
      </c>
      <c r="P18" s="8">
        <v>76.099999999999994</v>
      </c>
      <c r="Q18" s="8">
        <v>117.3</v>
      </c>
      <c r="R18" s="8">
        <v>108</v>
      </c>
      <c r="S18" s="8">
        <v>13.67</v>
      </c>
      <c r="T18" s="8">
        <v>79.7</v>
      </c>
      <c r="U18" s="8">
        <v>96</v>
      </c>
      <c r="V18" s="13">
        <v>128</v>
      </c>
      <c r="W18" s="6" t="s">
        <v>228</v>
      </c>
      <c r="X18" s="9">
        <v>44930</v>
      </c>
      <c r="Y18" s="5">
        <v>37</v>
      </c>
      <c r="Z18" s="5">
        <v>2</v>
      </c>
      <c r="AA18" s="5">
        <v>29</v>
      </c>
      <c r="AB18" s="5">
        <v>100</v>
      </c>
      <c r="AC18" s="5">
        <v>1.74</v>
      </c>
      <c r="AD18" s="5">
        <f t="shared" si="0"/>
        <v>33.029462280354075</v>
      </c>
      <c r="AE18" s="5">
        <f t="shared" si="1"/>
        <v>11</v>
      </c>
      <c r="AF18" s="5" t="s">
        <v>294</v>
      </c>
      <c r="AG18" s="10">
        <v>44943</v>
      </c>
      <c r="AH18" s="11">
        <v>38</v>
      </c>
      <c r="AI18" s="11">
        <v>6</v>
      </c>
      <c r="AJ18" s="11" t="s">
        <v>291</v>
      </c>
      <c r="AK18" s="11">
        <v>3945</v>
      </c>
      <c r="AL18" s="5">
        <v>309</v>
      </c>
      <c r="AM18" s="5">
        <v>250</v>
      </c>
      <c r="AN18" s="5">
        <v>77</v>
      </c>
      <c r="AO18" s="5">
        <v>181</v>
      </c>
      <c r="AP18" s="5">
        <v>49</v>
      </c>
      <c r="AQ18" s="5">
        <f t="shared" si="2"/>
        <v>43.720930232558146</v>
      </c>
      <c r="AR18" s="12">
        <v>105.79</v>
      </c>
      <c r="AS18" s="12">
        <v>81.19</v>
      </c>
      <c r="AT18" s="5">
        <f t="shared" si="3"/>
        <v>0.7674638434634653</v>
      </c>
    </row>
    <row r="19" spans="1:47" ht="19" x14ac:dyDescent="0.25">
      <c r="A19" s="5">
        <v>58</v>
      </c>
      <c r="B19" s="6" t="s">
        <v>199</v>
      </c>
      <c r="C19" s="7" t="s">
        <v>200</v>
      </c>
      <c r="D19" s="8">
        <v>31</v>
      </c>
      <c r="E19" s="8">
        <v>11</v>
      </c>
      <c r="F19" s="8">
        <v>5</v>
      </c>
      <c r="G19" s="8">
        <v>82</v>
      </c>
      <c r="H19" s="8">
        <v>57</v>
      </c>
      <c r="I19" s="8">
        <v>160</v>
      </c>
      <c r="J19" s="8">
        <v>22.3</v>
      </c>
      <c r="K19" s="8">
        <v>113</v>
      </c>
      <c r="L19" s="8">
        <v>63</v>
      </c>
      <c r="M19" s="8">
        <v>40.6</v>
      </c>
      <c r="N19" s="8">
        <v>14.9</v>
      </c>
      <c r="O19" s="8">
        <v>194</v>
      </c>
      <c r="P19" s="8">
        <v>61.3</v>
      </c>
      <c r="Q19" s="8">
        <v>112.7</v>
      </c>
      <c r="R19" s="8">
        <v>100</v>
      </c>
      <c r="S19" s="8">
        <v>4.71</v>
      </c>
      <c r="T19" s="8">
        <v>72.3</v>
      </c>
      <c r="U19" s="8">
        <v>85</v>
      </c>
      <c r="V19" s="13">
        <v>149</v>
      </c>
      <c r="W19" s="6" t="s">
        <v>201</v>
      </c>
      <c r="X19" s="9">
        <v>44921</v>
      </c>
      <c r="Y19" s="5">
        <v>37</v>
      </c>
      <c r="Z19" s="5">
        <v>0</v>
      </c>
      <c r="AA19" s="5">
        <v>32</v>
      </c>
      <c r="AB19" s="5">
        <v>72.5</v>
      </c>
      <c r="AC19" s="5">
        <v>1.6</v>
      </c>
      <c r="AD19" s="5">
        <f t="shared" si="0"/>
        <v>28.320312499999993</v>
      </c>
      <c r="AE19" s="5">
        <f t="shared" si="1"/>
        <v>15.5</v>
      </c>
      <c r="AF19" s="5" t="s">
        <v>289</v>
      </c>
      <c r="AG19" s="10">
        <v>44937</v>
      </c>
      <c r="AH19" s="11">
        <v>39</v>
      </c>
      <c r="AI19" s="11">
        <v>2</v>
      </c>
      <c r="AJ19" s="11" t="s">
        <v>291</v>
      </c>
      <c r="AK19" s="11">
        <v>3625</v>
      </c>
      <c r="AL19" s="5">
        <v>309</v>
      </c>
      <c r="AM19" s="5">
        <v>366</v>
      </c>
      <c r="AN19" s="5">
        <v>58</v>
      </c>
      <c r="AO19" s="5">
        <v>177</v>
      </c>
      <c r="AP19" s="5">
        <v>73</v>
      </c>
      <c r="AQ19" s="5">
        <f t="shared" si="2"/>
        <v>59.278350515463927</v>
      </c>
      <c r="AR19" s="12">
        <v>117.51</v>
      </c>
      <c r="AS19" s="12">
        <v>111.56</v>
      </c>
      <c r="AT19" s="5">
        <f t="shared" si="3"/>
        <v>0.9493660114032848</v>
      </c>
      <c r="AU19" s="5">
        <v>0.56999999999999995</v>
      </c>
    </row>
    <row r="20" spans="1:47" ht="19" x14ac:dyDescent="0.25">
      <c r="A20" s="5">
        <v>3</v>
      </c>
      <c r="B20" s="6" t="s">
        <v>34</v>
      </c>
      <c r="C20" s="7" t="s">
        <v>35</v>
      </c>
      <c r="D20" s="8">
        <v>37</v>
      </c>
      <c r="E20" s="8">
        <v>10</v>
      </c>
      <c r="F20" s="8">
        <v>4</v>
      </c>
      <c r="G20" s="8">
        <v>74</v>
      </c>
      <c r="H20" s="8">
        <v>50</v>
      </c>
      <c r="I20" s="8">
        <v>150</v>
      </c>
      <c r="J20" s="8">
        <v>22.2</v>
      </c>
      <c r="K20" s="8">
        <v>111</v>
      </c>
      <c r="L20" s="8">
        <v>68</v>
      </c>
      <c r="M20" s="8">
        <v>37.4</v>
      </c>
      <c r="N20" s="8">
        <v>13.1</v>
      </c>
      <c r="O20" s="19">
        <v>259</v>
      </c>
      <c r="P20" s="8">
        <v>72.3</v>
      </c>
      <c r="Q20" s="8">
        <v>165.7</v>
      </c>
      <c r="R20" s="8">
        <v>105</v>
      </c>
      <c r="S20" s="8">
        <v>3.67</v>
      </c>
      <c r="T20" s="8">
        <v>80.599999999999994</v>
      </c>
      <c r="U20" s="8">
        <v>80.5</v>
      </c>
      <c r="V20" s="8">
        <v>114.3</v>
      </c>
      <c r="W20" s="6" t="s">
        <v>36</v>
      </c>
      <c r="X20" s="9">
        <v>44935</v>
      </c>
      <c r="Y20" s="5">
        <v>36</v>
      </c>
      <c r="Z20" s="5">
        <v>4</v>
      </c>
      <c r="AA20" s="5">
        <v>38</v>
      </c>
      <c r="AB20" s="5">
        <v>60</v>
      </c>
      <c r="AC20" s="5">
        <v>1.5</v>
      </c>
      <c r="AD20" s="5">
        <f t="shared" si="0"/>
        <v>26.666666666666668</v>
      </c>
      <c r="AE20" s="5">
        <f t="shared" si="1"/>
        <v>10</v>
      </c>
      <c r="AF20" s="5" t="s">
        <v>289</v>
      </c>
      <c r="AG20" s="10">
        <v>44945</v>
      </c>
      <c r="AH20" s="11">
        <v>38</v>
      </c>
      <c r="AI20" s="11">
        <v>0</v>
      </c>
      <c r="AJ20" s="11" t="s">
        <v>291</v>
      </c>
      <c r="AK20" s="11">
        <v>3145</v>
      </c>
      <c r="AL20" s="5">
        <v>306</v>
      </c>
      <c r="AM20" s="5">
        <v>329</v>
      </c>
      <c r="AN20" s="5">
        <v>46</v>
      </c>
      <c r="AO20" s="5">
        <v>195</v>
      </c>
      <c r="AP20" s="5">
        <v>65</v>
      </c>
      <c r="AQ20" s="5">
        <f t="shared" si="2"/>
        <v>18.146718146718143</v>
      </c>
      <c r="AR20" s="12">
        <v>94.81</v>
      </c>
      <c r="AS20" s="12">
        <v>115.01</v>
      </c>
      <c r="AT20" s="5">
        <f t="shared" si="3"/>
        <v>1.2130576943360405</v>
      </c>
      <c r="AU20" s="5">
        <v>1.75</v>
      </c>
    </row>
    <row r="21" spans="1:47" ht="19" x14ac:dyDescent="0.25">
      <c r="A21" s="5">
        <v>37</v>
      </c>
      <c r="B21" s="6" t="s">
        <v>136</v>
      </c>
      <c r="C21" s="7" t="s">
        <v>137</v>
      </c>
      <c r="D21" s="8">
        <v>33</v>
      </c>
      <c r="E21" s="8">
        <v>10</v>
      </c>
      <c r="F21" s="8">
        <v>0</v>
      </c>
      <c r="G21" s="8">
        <v>70</v>
      </c>
      <c r="H21" s="8">
        <v>67</v>
      </c>
      <c r="I21" s="8">
        <v>170</v>
      </c>
      <c r="J21" s="8">
        <v>23.2</v>
      </c>
      <c r="K21" s="8">
        <v>110</v>
      </c>
      <c r="L21" s="8">
        <v>75</v>
      </c>
      <c r="M21" s="8">
        <v>36.299999999999997</v>
      </c>
      <c r="N21" s="8">
        <v>12.1</v>
      </c>
      <c r="O21" s="8">
        <v>178</v>
      </c>
      <c r="P21" s="8">
        <v>100.2</v>
      </c>
      <c r="Q21" s="8">
        <v>65.599999999999994</v>
      </c>
      <c r="R21" s="8">
        <v>60.9</v>
      </c>
      <c r="S21" s="8">
        <v>5.88</v>
      </c>
      <c r="T21" s="8">
        <v>68.7</v>
      </c>
      <c r="U21" s="8">
        <v>77.900000000000006</v>
      </c>
      <c r="V21" s="13">
        <v>122.6</v>
      </c>
      <c r="W21" s="6" t="s">
        <v>138</v>
      </c>
      <c r="X21" s="9">
        <v>45034</v>
      </c>
      <c r="Y21" s="5">
        <v>36</v>
      </c>
      <c r="Z21" s="5">
        <v>5</v>
      </c>
      <c r="AA21" s="5">
        <v>33</v>
      </c>
      <c r="AB21" s="5">
        <v>79</v>
      </c>
      <c r="AC21" s="5">
        <v>1.7</v>
      </c>
      <c r="AD21" s="5">
        <f t="shared" si="0"/>
        <v>27.335640138408309</v>
      </c>
      <c r="AE21" s="5">
        <f t="shared" si="1"/>
        <v>12</v>
      </c>
      <c r="AF21" s="5" t="s">
        <v>289</v>
      </c>
      <c r="AG21" s="14">
        <v>45043</v>
      </c>
      <c r="AH21" s="15">
        <v>38</v>
      </c>
      <c r="AI21" s="15">
        <v>0</v>
      </c>
      <c r="AJ21" s="15" t="s">
        <v>291</v>
      </c>
      <c r="AK21" s="15">
        <v>3600</v>
      </c>
      <c r="AL21" s="5">
        <v>304</v>
      </c>
      <c r="AM21" s="5">
        <v>376</v>
      </c>
      <c r="AN21" s="5">
        <v>91</v>
      </c>
      <c r="AO21" s="5">
        <v>137</v>
      </c>
      <c r="AP21" s="5">
        <v>75</v>
      </c>
      <c r="AQ21" s="5">
        <f t="shared" si="2"/>
        <v>70.786516853932596</v>
      </c>
      <c r="AR21" s="12">
        <v>159.81</v>
      </c>
      <c r="AS21" s="12">
        <v>66.14</v>
      </c>
      <c r="AT21" s="5">
        <f t="shared" si="3"/>
        <v>0.41386646642888431</v>
      </c>
      <c r="AU21" s="5">
        <v>0.91</v>
      </c>
    </row>
    <row r="22" spans="1:47" ht="19" x14ac:dyDescent="0.25">
      <c r="A22" s="5">
        <v>1</v>
      </c>
      <c r="B22" s="6" t="s">
        <v>28</v>
      </c>
      <c r="C22" s="7" t="s">
        <v>29</v>
      </c>
      <c r="D22" s="8">
        <v>38</v>
      </c>
      <c r="E22" s="8">
        <v>7</v>
      </c>
      <c r="F22" s="8">
        <v>4</v>
      </c>
      <c r="G22" s="8">
        <v>53</v>
      </c>
      <c r="H22" s="8">
        <v>60</v>
      </c>
      <c r="I22" s="8">
        <v>157</v>
      </c>
      <c r="J22" s="8">
        <v>24.3</v>
      </c>
      <c r="K22" s="8">
        <v>112</v>
      </c>
      <c r="L22" s="8">
        <v>46</v>
      </c>
      <c r="M22" s="8">
        <v>36.799999999999997</v>
      </c>
      <c r="N22" s="8">
        <v>12.6</v>
      </c>
      <c r="O22" s="8">
        <v>158</v>
      </c>
      <c r="P22" s="8">
        <v>58.1</v>
      </c>
      <c r="Q22" s="8">
        <v>90.1</v>
      </c>
      <c r="R22" s="8">
        <v>49.2</v>
      </c>
      <c r="S22" s="8">
        <v>5.34</v>
      </c>
      <c r="T22" s="8">
        <v>84.4</v>
      </c>
      <c r="U22" s="8">
        <v>72.599999999999994</v>
      </c>
      <c r="V22" s="13">
        <v>127.2</v>
      </c>
      <c r="W22" s="6" t="s">
        <v>30</v>
      </c>
      <c r="X22" s="9">
        <v>45001</v>
      </c>
      <c r="Y22" s="5">
        <v>35</v>
      </c>
      <c r="Z22" s="5">
        <v>6</v>
      </c>
      <c r="AA22" s="5">
        <v>39</v>
      </c>
      <c r="AB22" s="5">
        <v>67.8</v>
      </c>
      <c r="AC22" s="5">
        <v>1.57</v>
      </c>
      <c r="AD22" s="5">
        <f t="shared" si="0"/>
        <v>27.506186863564441</v>
      </c>
      <c r="AE22" s="5">
        <f t="shared" si="1"/>
        <v>7.7999999999999972</v>
      </c>
      <c r="AF22" s="5" t="s">
        <v>289</v>
      </c>
      <c r="AG22" s="10">
        <v>45026</v>
      </c>
      <c r="AH22" s="15">
        <v>39</v>
      </c>
      <c r="AI22" s="15">
        <v>3</v>
      </c>
      <c r="AJ22" s="15" t="s">
        <v>290</v>
      </c>
      <c r="AK22" s="15">
        <v>3375</v>
      </c>
      <c r="AL22" s="5">
        <v>302</v>
      </c>
      <c r="AM22" s="5">
        <v>192</v>
      </c>
      <c r="AN22" s="5">
        <v>75</v>
      </c>
      <c r="AO22" s="5">
        <v>188</v>
      </c>
      <c r="AP22" s="5">
        <v>38</v>
      </c>
      <c r="AQ22" s="5">
        <f t="shared" si="2"/>
        <v>91.139240506329116</v>
      </c>
      <c r="AR22" s="12">
        <v>78.260000000000005</v>
      </c>
      <c r="AS22" s="12">
        <v>80.75</v>
      </c>
      <c r="AT22" s="5">
        <f t="shared" si="3"/>
        <v>1.0318170201891133</v>
      </c>
      <c r="AU22" s="5">
        <v>0.37</v>
      </c>
    </row>
    <row r="23" spans="1:47" ht="19" x14ac:dyDescent="0.25">
      <c r="A23" s="5">
        <v>36</v>
      </c>
      <c r="B23" s="6" t="s">
        <v>133</v>
      </c>
      <c r="C23" s="7" t="s">
        <v>134</v>
      </c>
      <c r="D23" s="8">
        <v>33</v>
      </c>
      <c r="E23" s="8">
        <v>7</v>
      </c>
      <c r="F23" s="8">
        <v>5</v>
      </c>
      <c r="G23" s="8">
        <v>54</v>
      </c>
      <c r="H23" s="8">
        <v>60</v>
      </c>
      <c r="I23" s="8">
        <v>155</v>
      </c>
      <c r="J23" s="8">
        <v>25</v>
      </c>
      <c r="K23" s="8">
        <v>109</v>
      </c>
      <c r="L23" s="8">
        <v>68</v>
      </c>
      <c r="M23" s="8">
        <v>37.9</v>
      </c>
      <c r="N23" s="8">
        <v>12.6</v>
      </c>
      <c r="O23" s="8">
        <v>185</v>
      </c>
      <c r="P23" s="8">
        <v>65.2</v>
      </c>
      <c r="Q23" s="8">
        <v>101</v>
      </c>
      <c r="R23" s="8">
        <v>93.9</v>
      </c>
      <c r="S23" s="8">
        <v>9.49</v>
      </c>
      <c r="T23" s="8">
        <v>73.5</v>
      </c>
      <c r="U23" s="8">
        <v>78.599999999999994</v>
      </c>
      <c r="V23" s="8">
        <v>120.5</v>
      </c>
      <c r="W23" s="6" t="s">
        <v>135</v>
      </c>
      <c r="X23" s="9">
        <v>45050</v>
      </c>
      <c r="Y23" s="5">
        <v>35</v>
      </c>
      <c r="Z23" s="5">
        <v>3</v>
      </c>
      <c r="AA23" s="5">
        <v>33</v>
      </c>
      <c r="AB23" s="5">
        <v>72</v>
      </c>
      <c r="AC23" s="5">
        <v>1.55</v>
      </c>
      <c r="AD23" s="5">
        <f t="shared" si="0"/>
        <v>29.968782518210194</v>
      </c>
      <c r="AE23" s="5">
        <f t="shared" si="1"/>
        <v>12</v>
      </c>
      <c r="AF23" s="5" t="s">
        <v>289</v>
      </c>
      <c r="AG23" s="14">
        <v>45051</v>
      </c>
      <c r="AH23" s="15">
        <v>35</v>
      </c>
      <c r="AI23" s="15">
        <v>6</v>
      </c>
      <c r="AJ23" s="15" t="s">
        <v>290</v>
      </c>
      <c r="AK23" s="15">
        <v>2040</v>
      </c>
      <c r="AL23" s="5">
        <v>301</v>
      </c>
      <c r="AM23" s="5">
        <v>288</v>
      </c>
      <c r="AN23" s="5">
        <v>86</v>
      </c>
      <c r="AO23" s="5">
        <v>156</v>
      </c>
      <c r="AP23" s="5">
        <v>57</v>
      </c>
      <c r="AQ23" s="5">
        <f t="shared" si="2"/>
        <v>62.702702702702709</v>
      </c>
      <c r="AR23" s="12">
        <v>104.09</v>
      </c>
      <c r="AS23" s="12">
        <v>96.45</v>
      </c>
      <c r="AT23" s="5">
        <f t="shared" si="3"/>
        <v>0.92660197905658559</v>
      </c>
      <c r="AU23" s="5">
        <v>1.44</v>
      </c>
    </row>
    <row r="24" spans="1:47" ht="19" x14ac:dyDescent="0.25">
      <c r="A24" s="5">
        <v>78</v>
      </c>
      <c r="B24" s="6" t="s">
        <v>259</v>
      </c>
      <c r="C24" s="7" t="s">
        <v>260</v>
      </c>
      <c r="D24" s="8">
        <v>24</v>
      </c>
      <c r="E24" s="8">
        <v>10</v>
      </c>
      <c r="F24" s="8">
        <v>0</v>
      </c>
      <c r="G24" s="8">
        <v>70</v>
      </c>
      <c r="H24" s="8">
        <v>60</v>
      </c>
      <c r="I24" s="8">
        <v>168</v>
      </c>
      <c r="J24" s="8">
        <v>21.3</v>
      </c>
      <c r="K24" s="8">
        <v>112</v>
      </c>
      <c r="L24" s="8">
        <v>76</v>
      </c>
      <c r="M24" s="8">
        <v>34.200000000000003</v>
      </c>
      <c r="N24" s="8">
        <v>12.3</v>
      </c>
      <c r="O24" s="8">
        <v>217</v>
      </c>
      <c r="P24" s="8">
        <v>60.5</v>
      </c>
      <c r="Q24" s="8">
        <v>130.69999999999999</v>
      </c>
      <c r="R24" s="8">
        <v>129</v>
      </c>
      <c r="S24" s="8">
        <v>7.48</v>
      </c>
      <c r="T24" s="8">
        <v>84.4</v>
      </c>
      <c r="U24" s="8">
        <v>80.400000000000006</v>
      </c>
      <c r="V24" s="8">
        <v>119.9</v>
      </c>
      <c r="W24" s="6" t="s">
        <v>261</v>
      </c>
      <c r="X24" s="9">
        <v>44769</v>
      </c>
      <c r="Y24" s="5">
        <v>37</v>
      </c>
      <c r="Z24" s="5">
        <v>1</v>
      </c>
      <c r="AA24" s="5">
        <v>25</v>
      </c>
      <c r="AB24" s="5">
        <v>74</v>
      </c>
      <c r="AC24" s="5">
        <v>1.68</v>
      </c>
      <c r="AD24" s="5">
        <f t="shared" si="0"/>
        <v>26.218820861678008</v>
      </c>
      <c r="AE24" s="5">
        <f t="shared" si="1"/>
        <v>14</v>
      </c>
      <c r="AF24" s="5" t="s">
        <v>292</v>
      </c>
      <c r="AG24" s="10">
        <v>44795</v>
      </c>
      <c r="AH24" s="11">
        <v>40</v>
      </c>
      <c r="AI24" s="11">
        <v>5</v>
      </c>
      <c r="AJ24" s="11" t="s">
        <v>290</v>
      </c>
      <c r="AK24" s="11">
        <v>3990</v>
      </c>
      <c r="AL24" s="5">
        <v>298</v>
      </c>
      <c r="AM24" s="5">
        <v>404</v>
      </c>
      <c r="AN24" s="5">
        <v>62</v>
      </c>
      <c r="AO24" s="5">
        <v>155</v>
      </c>
      <c r="AP24" s="5">
        <v>80</v>
      </c>
      <c r="AQ24" s="5">
        <f t="shared" si="2"/>
        <v>37.327188940092157</v>
      </c>
      <c r="AR24" s="12">
        <v>98.24</v>
      </c>
      <c r="AS24" s="12">
        <v>131.31</v>
      </c>
      <c r="AT24" s="5">
        <f t="shared" si="3"/>
        <v>1.3366245928338762</v>
      </c>
      <c r="AU24" s="5">
        <v>0.98</v>
      </c>
    </row>
    <row r="25" spans="1:47" ht="19" x14ac:dyDescent="0.25">
      <c r="A25" s="5">
        <v>12</v>
      </c>
      <c r="B25" s="6" t="s">
        <v>61</v>
      </c>
      <c r="C25" s="7" t="s">
        <v>62</v>
      </c>
      <c r="D25" s="8">
        <v>37</v>
      </c>
      <c r="E25" s="8">
        <v>10</v>
      </c>
      <c r="F25" s="8">
        <v>0</v>
      </c>
      <c r="G25" s="8">
        <v>70</v>
      </c>
      <c r="H25" s="8">
        <v>60</v>
      </c>
      <c r="I25" s="8">
        <v>170</v>
      </c>
      <c r="J25" s="8">
        <v>20.8</v>
      </c>
      <c r="K25" s="8">
        <v>104</v>
      </c>
      <c r="L25" s="8">
        <v>54</v>
      </c>
      <c r="M25" s="8">
        <v>37.1</v>
      </c>
      <c r="N25" s="8">
        <v>13</v>
      </c>
      <c r="O25" s="8">
        <v>193</v>
      </c>
      <c r="P25" s="8">
        <v>60.4</v>
      </c>
      <c r="Q25" s="8">
        <v>106</v>
      </c>
      <c r="R25" s="8">
        <v>133</v>
      </c>
      <c r="S25" s="8">
        <v>3.26</v>
      </c>
      <c r="T25" s="8">
        <v>81.3</v>
      </c>
      <c r="U25" s="8">
        <v>87.6</v>
      </c>
      <c r="V25" s="8">
        <v>104.3</v>
      </c>
      <c r="W25" s="6" t="s">
        <v>63</v>
      </c>
      <c r="X25" s="9">
        <v>44935</v>
      </c>
      <c r="Y25" s="5">
        <v>35</v>
      </c>
      <c r="Z25" s="5">
        <v>6</v>
      </c>
      <c r="AA25" s="5">
        <v>37</v>
      </c>
      <c r="AB25" s="5">
        <v>75.8</v>
      </c>
      <c r="AC25" s="5">
        <v>1.7</v>
      </c>
      <c r="AD25" s="5">
        <f t="shared" si="0"/>
        <v>26.228373702422147</v>
      </c>
      <c r="AE25" s="5">
        <f t="shared" si="1"/>
        <v>15.799999999999997</v>
      </c>
      <c r="AF25" s="5" t="s">
        <v>289</v>
      </c>
      <c r="AG25" s="10">
        <v>44956</v>
      </c>
      <c r="AH25" s="11">
        <v>38</v>
      </c>
      <c r="AI25" s="11">
        <v>6</v>
      </c>
      <c r="AJ25" s="11" t="s">
        <v>291</v>
      </c>
      <c r="AK25" s="11">
        <v>3600</v>
      </c>
      <c r="AL25" s="5">
        <v>296</v>
      </c>
      <c r="AM25" s="5">
        <v>189</v>
      </c>
      <c r="AN25" s="5">
        <v>71</v>
      </c>
      <c r="AO25" s="5">
        <v>187</v>
      </c>
      <c r="AP25" s="5">
        <v>38</v>
      </c>
      <c r="AQ25" s="5">
        <f t="shared" si="2"/>
        <v>53.367875647668399</v>
      </c>
      <c r="AR25" s="12">
        <v>122.08</v>
      </c>
      <c r="AS25" s="12">
        <v>124.02</v>
      </c>
      <c r="AT25" s="5">
        <f t="shared" si="3"/>
        <v>1.0158912188728701</v>
      </c>
    </row>
    <row r="26" spans="1:47" ht="19" x14ac:dyDescent="0.25">
      <c r="A26" s="5">
        <v>63</v>
      </c>
      <c r="B26" s="6" t="s">
        <v>214</v>
      </c>
      <c r="C26" s="7" t="s">
        <v>215</v>
      </c>
      <c r="D26" s="8">
        <v>29</v>
      </c>
      <c r="E26" s="8">
        <v>10</v>
      </c>
      <c r="F26" s="8">
        <v>6</v>
      </c>
      <c r="G26" s="8">
        <v>76</v>
      </c>
      <c r="H26" s="8">
        <v>46</v>
      </c>
      <c r="I26" s="8">
        <v>156</v>
      </c>
      <c r="J26" s="8">
        <v>18.899999999999999</v>
      </c>
      <c r="K26" s="8">
        <v>113</v>
      </c>
      <c r="L26" s="8">
        <v>56</v>
      </c>
      <c r="M26" s="8">
        <v>35.700000000000003</v>
      </c>
      <c r="N26" s="8">
        <v>12.6</v>
      </c>
      <c r="O26" s="8">
        <v>172</v>
      </c>
      <c r="P26" s="8">
        <v>60.3</v>
      </c>
      <c r="Q26" s="8">
        <v>98.5</v>
      </c>
      <c r="R26" s="8">
        <v>66</v>
      </c>
      <c r="S26" s="8">
        <v>1.56</v>
      </c>
      <c r="T26" s="8">
        <v>81.5</v>
      </c>
      <c r="U26" s="8">
        <v>80.2</v>
      </c>
      <c r="V26" s="13">
        <v>136.6</v>
      </c>
      <c r="W26" s="6" t="s">
        <v>216</v>
      </c>
      <c r="X26" s="9">
        <v>45000</v>
      </c>
      <c r="Y26" s="5">
        <v>36</v>
      </c>
      <c r="Z26" s="5">
        <v>0</v>
      </c>
      <c r="AA26" s="5">
        <v>30</v>
      </c>
      <c r="AB26" s="5">
        <v>52</v>
      </c>
      <c r="AC26" s="5">
        <v>1.52</v>
      </c>
      <c r="AD26" s="5">
        <f t="shared" si="0"/>
        <v>22.506925207756233</v>
      </c>
      <c r="AE26" s="5">
        <f t="shared" si="1"/>
        <v>6</v>
      </c>
      <c r="AF26" s="5" t="s">
        <v>289</v>
      </c>
      <c r="AG26" s="10">
        <v>45006</v>
      </c>
      <c r="AH26" s="15">
        <v>36</v>
      </c>
      <c r="AI26" s="15">
        <v>6</v>
      </c>
      <c r="AJ26" s="15" t="s">
        <v>291</v>
      </c>
      <c r="AK26" s="15">
        <v>2565</v>
      </c>
      <c r="AL26" s="5">
        <v>296</v>
      </c>
      <c r="AM26" s="5">
        <v>244</v>
      </c>
      <c r="AN26" s="5">
        <v>69</v>
      </c>
      <c r="AO26" s="5">
        <v>177</v>
      </c>
      <c r="AP26" s="5">
        <v>48</v>
      </c>
      <c r="AQ26" s="5">
        <f t="shared" si="2"/>
        <v>72.093023255813961</v>
      </c>
      <c r="AR26" s="12">
        <v>71.349999999999994</v>
      </c>
      <c r="AS26" s="12">
        <v>75.47</v>
      </c>
      <c r="AT26" s="5">
        <f t="shared" si="3"/>
        <v>1.0577435178696566</v>
      </c>
    </row>
    <row r="27" spans="1:47" ht="19" x14ac:dyDescent="0.25">
      <c r="A27" s="5">
        <v>25</v>
      </c>
      <c r="B27" s="6" t="s">
        <v>100</v>
      </c>
      <c r="C27" s="7" t="s">
        <v>101</v>
      </c>
      <c r="D27" s="8">
        <v>33</v>
      </c>
      <c r="E27" s="8">
        <v>5</v>
      </c>
      <c r="F27" s="8">
        <v>6</v>
      </c>
      <c r="G27" s="8">
        <v>41</v>
      </c>
      <c r="H27" s="8">
        <v>74</v>
      </c>
      <c r="I27" s="8">
        <v>178</v>
      </c>
      <c r="J27" s="8">
        <v>23.3</v>
      </c>
      <c r="K27" s="8">
        <v>112</v>
      </c>
      <c r="L27" s="8">
        <v>63</v>
      </c>
      <c r="M27" s="8">
        <v>37.9</v>
      </c>
      <c r="N27" s="8">
        <v>13.1</v>
      </c>
      <c r="O27" s="8">
        <v>192</v>
      </c>
      <c r="P27" s="8">
        <v>62</v>
      </c>
      <c r="Q27" s="8">
        <v>115.4</v>
      </c>
      <c r="R27" s="8">
        <v>73</v>
      </c>
      <c r="S27" s="8">
        <v>9.41</v>
      </c>
      <c r="T27" s="8">
        <v>81.8</v>
      </c>
      <c r="U27" s="8">
        <v>76</v>
      </c>
      <c r="V27" s="8">
        <v>78</v>
      </c>
      <c r="W27" s="6" t="s">
        <v>102</v>
      </c>
      <c r="X27" s="9">
        <v>44957</v>
      </c>
      <c r="Y27" s="5">
        <v>35</v>
      </c>
      <c r="Z27" s="5">
        <v>2</v>
      </c>
      <c r="AA27" s="5">
        <v>34</v>
      </c>
      <c r="AB27" s="5">
        <v>88</v>
      </c>
      <c r="AC27" s="5">
        <v>1.78</v>
      </c>
      <c r="AD27" s="5">
        <f t="shared" si="0"/>
        <v>27.774270925388208</v>
      </c>
      <c r="AE27" s="5">
        <f t="shared" si="1"/>
        <v>14</v>
      </c>
      <c r="AF27" s="5" t="s">
        <v>289</v>
      </c>
      <c r="AG27" s="10">
        <v>44995</v>
      </c>
      <c r="AH27" s="11">
        <v>40</v>
      </c>
      <c r="AI27" s="11">
        <v>6</v>
      </c>
      <c r="AJ27" s="11" t="s">
        <v>291</v>
      </c>
      <c r="AK27" s="11">
        <v>3385</v>
      </c>
      <c r="AL27" s="5">
        <v>295</v>
      </c>
      <c r="AM27" s="5">
        <v>303</v>
      </c>
      <c r="AN27" s="5">
        <v>85</v>
      </c>
      <c r="AO27" s="5">
        <v>149</v>
      </c>
      <c r="AP27" s="5">
        <v>60</v>
      </c>
      <c r="AQ27" s="5">
        <f t="shared" si="2"/>
        <v>53.645833333333343</v>
      </c>
      <c r="AR27" s="12">
        <v>93.62</v>
      </c>
      <c r="AS27" s="12">
        <v>110.7</v>
      </c>
      <c r="AT27" s="5">
        <f t="shared" si="3"/>
        <v>1.1824396496475111</v>
      </c>
    </row>
    <row r="28" spans="1:47" ht="19" x14ac:dyDescent="0.25">
      <c r="A28" s="5">
        <v>14</v>
      </c>
      <c r="B28" s="6" t="s">
        <v>67</v>
      </c>
      <c r="C28" s="7" t="s">
        <v>68</v>
      </c>
      <c r="D28" s="8">
        <v>35</v>
      </c>
      <c r="E28" s="8">
        <v>4</v>
      </c>
      <c r="F28" s="8">
        <v>6</v>
      </c>
      <c r="G28" s="8">
        <v>34</v>
      </c>
      <c r="H28" s="8">
        <v>58</v>
      </c>
      <c r="I28" s="8">
        <v>163</v>
      </c>
      <c r="J28" s="8">
        <v>21.8</v>
      </c>
      <c r="K28" s="8">
        <v>112</v>
      </c>
      <c r="L28" s="8">
        <v>73</v>
      </c>
      <c r="M28" s="8">
        <v>41.9</v>
      </c>
      <c r="N28" s="8">
        <v>14.9</v>
      </c>
      <c r="O28" s="8">
        <v>212</v>
      </c>
      <c r="P28" s="8">
        <v>64.400000000000006</v>
      </c>
      <c r="Q28" s="8">
        <v>136.4</v>
      </c>
      <c r="R28" s="8">
        <v>56</v>
      </c>
      <c r="S28" s="8">
        <v>4.29</v>
      </c>
      <c r="T28" s="8">
        <v>75.400000000000006</v>
      </c>
      <c r="U28" s="8"/>
      <c r="V28" s="8"/>
      <c r="W28" s="6" t="s">
        <v>69</v>
      </c>
      <c r="X28" s="9">
        <v>45012</v>
      </c>
      <c r="Y28" s="5">
        <v>36</v>
      </c>
      <c r="Z28" s="5">
        <v>3</v>
      </c>
      <c r="AA28" s="5">
        <v>36</v>
      </c>
      <c r="AB28" s="5">
        <v>69</v>
      </c>
      <c r="AC28" s="5">
        <v>1.63</v>
      </c>
      <c r="AD28" s="5">
        <f t="shared" si="0"/>
        <v>25.970115548195267</v>
      </c>
      <c r="AE28" s="5">
        <f t="shared" si="1"/>
        <v>11</v>
      </c>
      <c r="AF28" s="5" t="s">
        <v>292</v>
      </c>
      <c r="AG28" s="14">
        <v>45030</v>
      </c>
      <c r="AH28" s="15">
        <v>39</v>
      </c>
      <c r="AI28" s="15">
        <v>0</v>
      </c>
      <c r="AJ28" s="15" t="s">
        <v>290</v>
      </c>
      <c r="AK28" s="15">
        <v>3650</v>
      </c>
      <c r="AL28" s="5">
        <v>292</v>
      </c>
      <c r="AM28" s="5">
        <v>213</v>
      </c>
      <c r="AN28" s="5">
        <v>61</v>
      </c>
      <c r="AO28" s="5">
        <v>82</v>
      </c>
      <c r="AP28" s="5">
        <v>42</v>
      </c>
      <c r="AQ28" s="5">
        <f t="shared" si="2"/>
        <v>37.735849056603769</v>
      </c>
      <c r="AR28" s="12">
        <v>103.87</v>
      </c>
      <c r="AS28" s="12">
        <v>96.45</v>
      </c>
      <c r="AT28" s="5">
        <f>AS28/AR28</f>
        <v>0.92856455184365072</v>
      </c>
    </row>
    <row r="29" spans="1:47" ht="19" x14ac:dyDescent="0.25">
      <c r="A29" s="5">
        <v>40</v>
      </c>
      <c r="B29" s="6" t="s">
        <v>145</v>
      </c>
      <c r="C29" s="7" t="s">
        <v>146</v>
      </c>
      <c r="D29" s="8">
        <v>33</v>
      </c>
      <c r="E29" s="8">
        <v>10</v>
      </c>
      <c r="F29" s="8">
        <v>4</v>
      </c>
      <c r="G29" s="8">
        <v>74</v>
      </c>
      <c r="H29" s="8">
        <v>55</v>
      </c>
      <c r="I29" s="8">
        <v>171</v>
      </c>
      <c r="J29" s="8">
        <v>18.8</v>
      </c>
      <c r="K29" s="8">
        <v>110</v>
      </c>
      <c r="L29" s="8">
        <v>72</v>
      </c>
      <c r="M29" s="8">
        <v>31.6</v>
      </c>
      <c r="N29" s="8">
        <v>11.9</v>
      </c>
      <c r="O29" s="8">
        <v>172</v>
      </c>
      <c r="P29" s="8">
        <v>77.400000000000006</v>
      </c>
      <c r="Q29" s="8">
        <v>80</v>
      </c>
      <c r="R29" s="8">
        <v>73</v>
      </c>
      <c r="S29" s="8">
        <v>2.74</v>
      </c>
      <c r="T29" s="8">
        <v>74.5</v>
      </c>
      <c r="U29" s="13">
        <v>69</v>
      </c>
      <c r="V29" s="13">
        <v>68</v>
      </c>
      <c r="W29" s="6" t="s">
        <v>147</v>
      </c>
      <c r="X29" s="9">
        <v>44908</v>
      </c>
      <c r="Y29" s="5">
        <v>35</v>
      </c>
      <c r="Z29" s="5">
        <v>1</v>
      </c>
      <c r="AA29" s="5">
        <v>34</v>
      </c>
      <c r="AB29" s="5">
        <v>62.5</v>
      </c>
      <c r="AC29" s="5">
        <v>1.72</v>
      </c>
      <c r="AD29" s="5">
        <f t="shared" si="0"/>
        <v>21.12628447809627</v>
      </c>
      <c r="AE29" s="5">
        <f t="shared" si="1"/>
        <v>7.5</v>
      </c>
      <c r="AF29" s="5" t="s">
        <v>292</v>
      </c>
      <c r="AG29" s="10">
        <v>44940</v>
      </c>
      <c r="AH29" s="11">
        <v>39</v>
      </c>
      <c r="AI29" s="11">
        <v>5</v>
      </c>
      <c r="AJ29" s="11" t="s">
        <v>291</v>
      </c>
      <c r="AK29" s="11">
        <v>2960</v>
      </c>
      <c r="AL29" s="5">
        <v>292</v>
      </c>
      <c r="AM29" s="5">
        <v>209</v>
      </c>
      <c r="AN29" s="5">
        <v>100</v>
      </c>
      <c r="AO29" s="5">
        <v>150</v>
      </c>
      <c r="AP29" s="5">
        <v>42</v>
      </c>
      <c r="AQ29" s="5">
        <f t="shared" si="2"/>
        <v>69.767441860465112</v>
      </c>
      <c r="AR29" s="12">
        <v>121.78</v>
      </c>
      <c r="AS29" s="12">
        <v>92.54</v>
      </c>
      <c r="AT29" s="5">
        <f t="shared" si="3"/>
        <v>0.75989489242897035</v>
      </c>
    </row>
    <row r="30" spans="1:47" ht="19" x14ac:dyDescent="0.25">
      <c r="A30" s="5">
        <v>51</v>
      </c>
      <c r="B30" s="6" t="s">
        <v>178</v>
      </c>
      <c r="C30" s="7" t="s">
        <v>179</v>
      </c>
      <c r="D30" s="8">
        <v>30</v>
      </c>
      <c r="E30" s="8">
        <v>9</v>
      </c>
      <c r="F30" s="8">
        <v>1</v>
      </c>
      <c r="G30" s="8">
        <v>64</v>
      </c>
      <c r="H30" s="8">
        <v>60</v>
      </c>
      <c r="I30" s="8">
        <v>165</v>
      </c>
      <c r="J30" s="8">
        <v>22</v>
      </c>
      <c r="K30" s="8">
        <v>124</v>
      </c>
      <c r="L30" s="8">
        <v>68</v>
      </c>
      <c r="M30" s="8">
        <v>37.5</v>
      </c>
      <c r="N30" s="8">
        <v>13.2</v>
      </c>
      <c r="O30" s="8">
        <v>189</v>
      </c>
      <c r="P30" s="8">
        <v>53.1</v>
      </c>
      <c r="Q30" s="8">
        <v>120.5</v>
      </c>
      <c r="R30" s="8">
        <v>77</v>
      </c>
      <c r="S30" s="8">
        <v>7.06</v>
      </c>
      <c r="T30" s="8">
        <v>82.3</v>
      </c>
      <c r="U30" s="8">
        <v>77</v>
      </c>
      <c r="V30" s="8">
        <v>81</v>
      </c>
      <c r="W30" s="6" t="s">
        <v>180</v>
      </c>
      <c r="X30" s="9">
        <v>44804</v>
      </c>
      <c r="Y30" s="5">
        <v>35</v>
      </c>
      <c r="Z30" s="5">
        <v>1</v>
      </c>
      <c r="AA30" s="5">
        <v>31</v>
      </c>
      <c r="AB30" s="5">
        <v>69</v>
      </c>
      <c r="AC30" s="5">
        <v>1.63</v>
      </c>
      <c r="AD30" s="5">
        <f t="shared" si="0"/>
        <v>25.970115548195267</v>
      </c>
      <c r="AE30" s="5">
        <f t="shared" si="1"/>
        <v>9</v>
      </c>
      <c r="AF30" s="5" t="s">
        <v>289</v>
      </c>
      <c r="AG30" s="10">
        <v>44833</v>
      </c>
      <c r="AH30" s="11">
        <v>39</v>
      </c>
      <c r="AI30" s="11">
        <v>2</v>
      </c>
      <c r="AJ30" s="11" t="s">
        <v>291</v>
      </c>
      <c r="AK30" s="11">
        <v>3270</v>
      </c>
      <c r="AL30" s="5">
        <v>291</v>
      </c>
      <c r="AM30" s="5">
        <v>174</v>
      </c>
      <c r="AN30" s="5">
        <v>61</v>
      </c>
      <c r="AO30" s="5">
        <v>195</v>
      </c>
      <c r="AP30" s="5">
        <v>34</v>
      </c>
      <c r="AQ30" s="5">
        <f t="shared" si="2"/>
        <v>53.968253968253975</v>
      </c>
      <c r="AR30" s="12">
        <v>159.66</v>
      </c>
      <c r="AS30" s="12">
        <v>97.32</v>
      </c>
      <c r="AT30" s="5">
        <f t="shared" si="3"/>
        <v>0.60954528372792183</v>
      </c>
    </row>
    <row r="31" spans="1:47" ht="19" x14ac:dyDescent="0.25">
      <c r="A31" s="5">
        <v>22</v>
      </c>
      <c r="B31" s="6" t="s">
        <v>91</v>
      </c>
      <c r="C31" s="7" t="s">
        <v>92</v>
      </c>
      <c r="D31" s="8">
        <v>33</v>
      </c>
      <c r="E31" s="8">
        <v>10</v>
      </c>
      <c r="F31" s="8">
        <v>1</v>
      </c>
      <c r="G31" s="8">
        <v>71</v>
      </c>
      <c r="H31" s="8">
        <v>55</v>
      </c>
      <c r="I31" s="8">
        <v>162</v>
      </c>
      <c r="J31" s="8">
        <v>21</v>
      </c>
      <c r="K31" s="8">
        <v>95</v>
      </c>
      <c r="L31" s="8">
        <v>57</v>
      </c>
      <c r="M31" s="8">
        <v>37.700000000000003</v>
      </c>
      <c r="N31" s="8">
        <v>13</v>
      </c>
      <c r="O31" s="8">
        <v>206</v>
      </c>
      <c r="P31" s="8">
        <v>63.1</v>
      </c>
      <c r="Q31" s="8">
        <v>114.1</v>
      </c>
      <c r="R31" s="8">
        <v>144</v>
      </c>
      <c r="S31" s="8">
        <v>4.97</v>
      </c>
      <c r="T31" s="8">
        <v>79.099999999999994</v>
      </c>
      <c r="U31" s="8">
        <v>78.900000000000006</v>
      </c>
      <c r="V31" s="8">
        <v>94.7</v>
      </c>
      <c r="W31" s="6" t="s">
        <v>93</v>
      </c>
      <c r="X31" s="9">
        <v>44809</v>
      </c>
      <c r="Y31" s="5">
        <v>37</v>
      </c>
      <c r="Z31" s="5">
        <v>0</v>
      </c>
      <c r="AA31" s="5">
        <v>34</v>
      </c>
      <c r="AB31" s="5">
        <v>61</v>
      </c>
      <c r="AC31" s="5">
        <v>1.62</v>
      </c>
      <c r="AD31" s="5">
        <f t="shared" si="0"/>
        <v>23.243408017070564</v>
      </c>
      <c r="AE31" s="5">
        <f t="shared" si="1"/>
        <v>6</v>
      </c>
      <c r="AF31" s="5" t="s">
        <v>289</v>
      </c>
      <c r="AG31" s="10">
        <v>44816</v>
      </c>
      <c r="AH31" s="11">
        <v>38</v>
      </c>
      <c r="AI31" s="11">
        <v>0</v>
      </c>
      <c r="AJ31" s="11" t="s">
        <v>290</v>
      </c>
      <c r="AK31" s="11">
        <v>3170</v>
      </c>
      <c r="AL31" s="5">
        <v>290</v>
      </c>
      <c r="AM31" s="5">
        <v>276</v>
      </c>
      <c r="AN31" s="5">
        <v>57</v>
      </c>
      <c r="AO31" s="5">
        <v>178</v>
      </c>
      <c r="AP31" s="5">
        <v>55</v>
      </c>
      <c r="AQ31" s="5">
        <f t="shared" si="2"/>
        <v>40.776699029126206</v>
      </c>
      <c r="AR31" s="12">
        <v>108.6</v>
      </c>
      <c r="AS31" s="12">
        <v>122.31</v>
      </c>
      <c r="AT31" s="5">
        <f t="shared" si="3"/>
        <v>1.126243093922652</v>
      </c>
    </row>
    <row r="32" spans="1:47" ht="19" x14ac:dyDescent="0.25">
      <c r="A32" s="5">
        <v>33</v>
      </c>
      <c r="B32" s="6" t="s">
        <v>124</v>
      </c>
      <c r="C32" s="7" t="s">
        <v>125</v>
      </c>
      <c r="D32" s="8">
        <v>33</v>
      </c>
      <c r="E32" s="8">
        <v>9</v>
      </c>
      <c r="F32" s="8">
        <v>0</v>
      </c>
      <c r="G32" s="8">
        <v>63</v>
      </c>
      <c r="H32" s="8">
        <v>60</v>
      </c>
      <c r="I32" s="8">
        <v>163</v>
      </c>
      <c r="J32" s="8">
        <v>22.6</v>
      </c>
      <c r="K32" s="8">
        <v>103</v>
      </c>
      <c r="L32" s="8">
        <v>62</v>
      </c>
      <c r="M32" s="8">
        <v>37.700000000000003</v>
      </c>
      <c r="N32" s="8">
        <v>13</v>
      </c>
      <c r="O32" s="8">
        <v>220</v>
      </c>
      <c r="P32" s="8">
        <v>73.5</v>
      </c>
      <c r="Q32" s="8">
        <v>129.9</v>
      </c>
      <c r="R32" s="8">
        <v>83</v>
      </c>
      <c r="S32" s="13">
        <v>1.81</v>
      </c>
      <c r="T32" s="8">
        <v>77.3</v>
      </c>
      <c r="U32" s="8">
        <v>82.1</v>
      </c>
      <c r="V32" s="8">
        <v>115.4</v>
      </c>
      <c r="W32" s="6" t="s">
        <v>126</v>
      </c>
      <c r="X32" s="9">
        <v>44893</v>
      </c>
      <c r="Y32" s="5">
        <v>37</v>
      </c>
      <c r="Z32" s="5">
        <v>1</v>
      </c>
      <c r="AA32" s="5">
        <v>34</v>
      </c>
      <c r="AB32" s="5">
        <v>75</v>
      </c>
      <c r="AC32" s="5">
        <v>1.68</v>
      </c>
      <c r="AD32" s="5">
        <f t="shared" si="0"/>
        <v>26.573129251700685</v>
      </c>
      <c r="AE32" s="5">
        <f t="shared" si="1"/>
        <v>15</v>
      </c>
      <c r="AF32" s="5" t="s">
        <v>289</v>
      </c>
      <c r="AG32" s="18">
        <v>44909</v>
      </c>
      <c r="AH32" s="11">
        <v>39</v>
      </c>
      <c r="AI32" s="11">
        <v>3</v>
      </c>
      <c r="AJ32" s="11" t="s">
        <v>291</v>
      </c>
      <c r="AK32" s="11">
        <v>3315</v>
      </c>
      <c r="AL32" s="5">
        <v>289</v>
      </c>
      <c r="AM32" s="5">
        <v>223</v>
      </c>
      <c r="AN32" s="5">
        <v>69</v>
      </c>
      <c r="AO32" s="5">
        <v>174</v>
      </c>
      <c r="AP32" s="5">
        <v>44</v>
      </c>
      <c r="AQ32" s="5">
        <f t="shared" si="2"/>
        <v>31.363636363636374</v>
      </c>
      <c r="AR32" s="12">
        <v>117.59</v>
      </c>
      <c r="AS32" s="12">
        <v>120.59</v>
      </c>
      <c r="AT32" s="5">
        <f t="shared" si="3"/>
        <v>1.025512373501148</v>
      </c>
      <c r="AU32" s="5">
        <v>1.59</v>
      </c>
    </row>
    <row r="33" spans="1:47" ht="19" x14ac:dyDescent="0.25">
      <c r="A33" s="5">
        <v>80</v>
      </c>
      <c r="B33" s="6" t="s">
        <v>265</v>
      </c>
      <c r="C33" s="7" t="s">
        <v>266</v>
      </c>
      <c r="D33" s="8">
        <v>31</v>
      </c>
      <c r="E33" s="8">
        <v>12</v>
      </c>
      <c r="F33" s="8">
        <v>3</v>
      </c>
      <c r="G33" s="8">
        <v>87</v>
      </c>
      <c r="H33" s="8">
        <v>55</v>
      </c>
      <c r="I33" s="8">
        <v>160</v>
      </c>
      <c r="J33" s="8">
        <v>21.5</v>
      </c>
      <c r="K33" s="8">
        <v>101</v>
      </c>
      <c r="L33" s="8">
        <v>59</v>
      </c>
      <c r="M33" s="8">
        <v>32.5</v>
      </c>
      <c r="N33" s="8">
        <v>11.6</v>
      </c>
      <c r="O33" s="8">
        <v>188</v>
      </c>
      <c r="P33" s="8">
        <v>68.5</v>
      </c>
      <c r="Q33" s="8">
        <v>107.3</v>
      </c>
      <c r="R33" s="8">
        <v>61</v>
      </c>
      <c r="S33" s="8">
        <v>3.11</v>
      </c>
      <c r="T33" s="8">
        <v>73.7</v>
      </c>
      <c r="U33" s="8">
        <v>77.400000000000006</v>
      </c>
      <c r="V33" s="8">
        <v>66.7</v>
      </c>
      <c r="W33" s="6" t="s">
        <v>267</v>
      </c>
      <c r="X33" s="9">
        <v>45007</v>
      </c>
      <c r="Y33" s="5">
        <v>36</v>
      </c>
      <c r="Z33" s="5">
        <v>2</v>
      </c>
      <c r="AA33" s="5">
        <v>31</v>
      </c>
      <c r="AB33" s="5">
        <v>70</v>
      </c>
      <c r="AC33" s="5">
        <v>1.6</v>
      </c>
      <c r="AD33" s="5">
        <f t="shared" si="0"/>
        <v>27.343749999999996</v>
      </c>
      <c r="AE33" s="5">
        <f t="shared" si="1"/>
        <v>15</v>
      </c>
      <c r="AF33" s="5" t="s">
        <v>292</v>
      </c>
      <c r="AG33" s="14">
        <v>45032</v>
      </c>
      <c r="AH33" s="15">
        <v>39</v>
      </c>
      <c r="AI33" s="15">
        <v>6</v>
      </c>
      <c r="AJ33" s="15" t="s">
        <v>290</v>
      </c>
      <c r="AK33" s="15">
        <v>3600</v>
      </c>
      <c r="AL33" s="5">
        <v>289</v>
      </c>
      <c r="AM33" s="5">
        <v>221</v>
      </c>
      <c r="AN33" s="5">
        <v>66</v>
      </c>
      <c r="AO33" s="5">
        <v>178</v>
      </c>
      <c r="AP33" s="5">
        <v>44</v>
      </c>
      <c r="AQ33" s="5">
        <f t="shared" si="2"/>
        <v>53.723404255319139</v>
      </c>
      <c r="AR33" s="12">
        <v>104.31</v>
      </c>
      <c r="AS33" s="12">
        <v>105.96</v>
      </c>
      <c r="AT33" s="5">
        <f t="shared" si="3"/>
        <v>1.0158182341098647</v>
      </c>
    </row>
    <row r="34" spans="1:47" ht="19" x14ac:dyDescent="0.25">
      <c r="A34" s="5">
        <v>15</v>
      </c>
      <c r="B34" s="6" t="s">
        <v>70</v>
      </c>
      <c r="C34" s="7" t="s">
        <v>71</v>
      </c>
      <c r="D34" s="8">
        <v>35</v>
      </c>
      <c r="E34" s="8">
        <v>8</v>
      </c>
      <c r="F34" s="8">
        <v>1</v>
      </c>
      <c r="G34" s="8">
        <v>57</v>
      </c>
      <c r="H34" s="8">
        <v>59</v>
      </c>
      <c r="I34" s="8">
        <v>172</v>
      </c>
      <c r="J34" s="8">
        <v>19.899999999999999</v>
      </c>
      <c r="K34" s="8">
        <v>104</v>
      </c>
      <c r="L34" s="8">
        <v>62</v>
      </c>
      <c r="M34" s="8">
        <v>38.1</v>
      </c>
      <c r="N34" s="8">
        <v>13.5</v>
      </c>
      <c r="O34" s="8">
        <v>222</v>
      </c>
      <c r="P34" s="8">
        <v>53.7</v>
      </c>
      <c r="Q34" s="8">
        <v>144.9</v>
      </c>
      <c r="R34" s="8">
        <v>117</v>
      </c>
      <c r="S34" s="8">
        <v>2.67</v>
      </c>
      <c r="T34" s="8">
        <v>90.5</v>
      </c>
      <c r="U34" s="8">
        <v>91.1</v>
      </c>
      <c r="V34" s="8">
        <v>118</v>
      </c>
      <c r="W34" s="6" t="s">
        <v>72</v>
      </c>
      <c r="X34" s="9">
        <v>44936</v>
      </c>
      <c r="Y34" s="5">
        <v>35</v>
      </c>
      <c r="Z34" s="5">
        <v>6</v>
      </c>
      <c r="AA34" s="5">
        <v>36</v>
      </c>
      <c r="AB34" s="5">
        <v>65</v>
      </c>
      <c r="AC34" s="5">
        <v>1.72</v>
      </c>
      <c r="AD34" s="5">
        <f t="shared" ref="AD34:AD65" si="4">((AB34/(AC34*AC34)))</f>
        <v>21.971335857220122</v>
      </c>
      <c r="AE34" s="5">
        <f t="shared" ref="AE34:AE65" si="5">AB34-H34</f>
        <v>6</v>
      </c>
      <c r="AF34" s="5" t="s">
        <v>289</v>
      </c>
      <c r="AG34" s="10">
        <v>44959</v>
      </c>
      <c r="AH34" s="11">
        <v>39</v>
      </c>
      <c r="AI34" s="11">
        <v>0</v>
      </c>
      <c r="AJ34" s="11" t="s">
        <v>291</v>
      </c>
      <c r="AK34" s="11">
        <v>3355</v>
      </c>
      <c r="AL34" s="5">
        <v>288</v>
      </c>
      <c r="AM34" s="5">
        <v>213</v>
      </c>
      <c r="AN34" s="5">
        <v>60</v>
      </c>
      <c r="AO34" s="5">
        <v>185</v>
      </c>
      <c r="AP34" s="5">
        <v>42</v>
      </c>
      <c r="AQ34" s="5">
        <f t="shared" ref="AQ34:AQ65" si="6">((100*AL34)/O34)-100</f>
        <v>29.72972972972974</v>
      </c>
      <c r="AR34" s="12">
        <v>105.05</v>
      </c>
      <c r="AS34" s="12">
        <v>137.74</v>
      </c>
      <c r="AT34" s="5">
        <f t="shared" si="3"/>
        <v>1.3111851499286056</v>
      </c>
      <c r="AU34" s="5">
        <v>1.02</v>
      </c>
    </row>
    <row r="35" spans="1:47" ht="19" x14ac:dyDescent="0.25">
      <c r="A35" s="5">
        <v>39</v>
      </c>
      <c r="B35" s="6" t="s">
        <v>142</v>
      </c>
      <c r="C35" s="7" t="s">
        <v>143</v>
      </c>
      <c r="D35" s="8">
        <v>33</v>
      </c>
      <c r="E35" s="8">
        <v>10</v>
      </c>
      <c r="F35" s="8">
        <v>2</v>
      </c>
      <c r="G35" s="8">
        <v>72</v>
      </c>
      <c r="H35" s="8">
        <v>59</v>
      </c>
      <c r="I35" s="8">
        <v>162</v>
      </c>
      <c r="J35" s="8">
        <v>22.5</v>
      </c>
      <c r="K35" s="8">
        <v>99</v>
      </c>
      <c r="L35" s="8">
        <v>51</v>
      </c>
      <c r="M35" s="8">
        <v>34</v>
      </c>
      <c r="N35" s="8">
        <v>12.1</v>
      </c>
      <c r="O35" s="8">
        <v>176</v>
      </c>
      <c r="P35" s="8">
        <v>72.400000000000006</v>
      </c>
      <c r="Q35" s="8">
        <v>88.3</v>
      </c>
      <c r="R35" s="8">
        <v>76.400000000000006</v>
      </c>
      <c r="S35" s="8">
        <v>4.08</v>
      </c>
      <c r="T35" s="8">
        <v>80.3</v>
      </c>
      <c r="U35" s="8">
        <v>76.8</v>
      </c>
      <c r="V35" s="8">
        <v>111.1</v>
      </c>
      <c r="W35" s="6" t="s">
        <v>144</v>
      </c>
      <c r="X35" s="9">
        <v>45029</v>
      </c>
      <c r="Y35" s="5">
        <v>37</v>
      </c>
      <c r="Z35" s="5">
        <v>2</v>
      </c>
      <c r="AA35" s="5">
        <v>33</v>
      </c>
      <c r="AB35" s="5">
        <v>69</v>
      </c>
      <c r="AC35" s="5">
        <v>1.62</v>
      </c>
      <c r="AD35" s="5">
        <f t="shared" si="4"/>
        <v>26.291723822588015</v>
      </c>
      <c r="AE35" s="5">
        <f t="shared" si="5"/>
        <v>10</v>
      </c>
      <c r="AF35" s="5" t="s">
        <v>292</v>
      </c>
      <c r="AG35" s="14">
        <v>45050</v>
      </c>
      <c r="AH35" s="15">
        <v>40</v>
      </c>
      <c r="AI35" s="15">
        <v>2</v>
      </c>
      <c r="AJ35" s="15" t="s">
        <v>291</v>
      </c>
      <c r="AK35" s="15">
        <v>3355</v>
      </c>
      <c r="AL35" s="5">
        <v>288</v>
      </c>
      <c r="AM35" s="5">
        <v>312</v>
      </c>
      <c r="AN35" s="5">
        <v>77</v>
      </c>
      <c r="AO35" s="5">
        <v>148</v>
      </c>
      <c r="AP35" s="5">
        <v>62</v>
      </c>
      <c r="AQ35" s="5">
        <f t="shared" si="6"/>
        <v>63.636363636363626</v>
      </c>
      <c r="AR35" s="12">
        <v>102.46</v>
      </c>
      <c r="AS35" s="12">
        <v>76.790000000000006</v>
      </c>
      <c r="AT35" s="5">
        <f t="shared" si="3"/>
        <v>0.74946320515323062</v>
      </c>
    </row>
    <row r="36" spans="1:47" ht="19" x14ac:dyDescent="0.25">
      <c r="A36" s="20">
        <v>8</v>
      </c>
      <c r="B36" s="21" t="s">
        <v>49</v>
      </c>
      <c r="C36" s="22" t="s">
        <v>50</v>
      </c>
      <c r="D36" s="19">
        <v>36</v>
      </c>
      <c r="E36" s="19">
        <v>8</v>
      </c>
      <c r="F36" s="19">
        <v>2</v>
      </c>
      <c r="G36" s="19">
        <v>58</v>
      </c>
      <c r="H36" s="19">
        <v>55</v>
      </c>
      <c r="I36" s="19">
        <v>165</v>
      </c>
      <c r="J36" s="19">
        <v>20.2</v>
      </c>
      <c r="K36" s="19">
        <v>97</v>
      </c>
      <c r="L36" s="19">
        <v>58</v>
      </c>
      <c r="M36" s="19">
        <v>37</v>
      </c>
      <c r="N36" s="19">
        <v>13.2</v>
      </c>
      <c r="O36" s="19">
        <v>199</v>
      </c>
      <c r="P36" s="19">
        <v>67</v>
      </c>
      <c r="Q36" s="19">
        <v>110</v>
      </c>
      <c r="R36" s="19">
        <v>110</v>
      </c>
      <c r="S36" s="19">
        <v>5.37</v>
      </c>
      <c r="T36" s="19">
        <v>81</v>
      </c>
      <c r="U36" s="19">
        <v>77.3</v>
      </c>
      <c r="V36" s="19">
        <v>113.4</v>
      </c>
      <c r="W36" s="21" t="s">
        <v>51</v>
      </c>
      <c r="X36" s="23">
        <v>44796</v>
      </c>
      <c r="Y36" s="20">
        <v>36</v>
      </c>
      <c r="Z36" s="20">
        <v>2</v>
      </c>
      <c r="AA36" s="20">
        <v>37</v>
      </c>
      <c r="AB36" s="20">
        <v>61.3</v>
      </c>
      <c r="AC36" s="20">
        <v>1.65</v>
      </c>
      <c r="AD36" s="20">
        <f t="shared" si="4"/>
        <v>22.516069788797061</v>
      </c>
      <c r="AE36" s="20">
        <f t="shared" si="5"/>
        <v>6.2999999999999972</v>
      </c>
      <c r="AF36" s="20" t="s">
        <v>289</v>
      </c>
      <c r="AG36" s="24">
        <v>44809</v>
      </c>
      <c r="AH36" s="25">
        <v>38</v>
      </c>
      <c r="AI36" s="25">
        <v>1</v>
      </c>
      <c r="AJ36" s="25" t="s">
        <v>290</v>
      </c>
      <c r="AK36" s="25">
        <v>2765</v>
      </c>
      <c r="AL36" s="20">
        <v>285</v>
      </c>
      <c r="AM36" s="20">
        <v>209</v>
      </c>
      <c r="AN36" s="20">
        <v>89</v>
      </c>
      <c r="AO36" s="20">
        <v>153</v>
      </c>
      <c r="AP36" s="20">
        <v>42</v>
      </c>
      <c r="AQ36" s="20">
        <f t="shared" si="6"/>
        <v>43.21608040201005</v>
      </c>
      <c r="AR36" s="26">
        <v>120.53</v>
      </c>
      <c r="AS36" s="26">
        <v>129.16999999999999</v>
      </c>
      <c r="AT36" s="5">
        <f t="shared" si="3"/>
        <v>1.0716833983240686</v>
      </c>
    </row>
    <row r="37" spans="1:47" ht="19" x14ac:dyDescent="0.25">
      <c r="A37" s="20">
        <v>70</v>
      </c>
      <c r="B37" s="21" t="s">
        <v>235</v>
      </c>
      <c r="C37" s="22" t="s">
        <v>236</v>
      </c>
      <c r="D37" s="19">
        <v>29</v>
      </c>
      <c r="E37" s="19">
        <v>9</v>
      </c>
      <c r="F37" s="19">
        <v>0</v>
      </c>
      <c r="G37" s="19">
        <v>63</v>
      </c>
      <c r="H37" s="19">
        <v>52</v>
      </c>
      <c r="I37" s="19">
        <v>156</v>
      </c>
      <c r="J37" s="19">
        <v>21.4</v>
      </c>
      <c r="K37" s="19">
        <v>100</v>
      </c>
      <c r="L37" s="19">
        <v>57</v>
      </c>
      <c r="M37" s="19">
        <v>36.799999999999997</v>
      </c>
      <c r="N37" s="19">
        <v>12.7</v>
      </c>
      <c r="O37" s="19">
        <v>181</v>
      </c>
      <c r="P37" s="19">
        <v>71</v>
      </c>
      <c r="Q37" s="19">
        <v>102.8</v>
      </c>
      <c r="R37" s="19">
        <v>36</v>
      </c>
      <c r="S37" s="19">
        <v>3.11</v>
      </c>
      <c r="T37" s="19">
        <v>79.599999999999994</v>
      </c>
      <c r="U37" s="19">
        <v>83.4</v>
      </c>
      <c r="V37" s="19">
        <v>77.900000000000006</v>
      </c>
      <c r="W37" s="21" t="s">
        <v>237</v>
      </c>
      <c r="X37" s="23">
        <v>45034</v>
      </c>
      <c r="Y37" s="20">
        <v>37</v>
      </c>
      <c r="Z37" s="20">
        <v>2</v>
      </c>
      <c r="AA37" s="20">
        <v>29</v>
      </c>
      <c r="AB37" s="20">
        <v>59</v>
      </c>
      <c r="AC37" s="20">
        <v>1.57</v>
      </c>
      <c r="AD37" s="20">
        <f t="shared" si="4"/>
        <v>23.936062314901211</v>
      </c>
      <c r="AE37" s="20">
        <f t="shared" si="5"/>
        <v>7</v>
      </c>
      <c r="AF37" s="20" t="s">
        <v>295</v>
      </c>
      <c r="AG37" s="27">
        <v>45055</v>
      </c>
      <c r="AH37" s="28">
        <v>40</v>
      </c>
      <c r="AI37" s="28">
        <v>1</v>
      </c>
      <c r="AJ37" s="28" t="s">
        <v>290</v>
      </c>
      <c r="AK37" s="28">
        <v>3405</v>
      </c>
      <c r="AL37" s="20">
        <v>285</v>
      </c>
      <c r="AM37" s="20">
        <v>199</v>
      </c>
      <c r="AN37" s="20">
        <v>59</v>
      </c>
      <c r="AO37" s="20">
        <v>186</v>
      </c>
      <c r="AP37" s="20">
        <v>40</v>
      </c>
      <c r="AQ37" s="20">
        <f t="shared" si="6"/>
        <v>57.458563535911594</v>
      </c>
      <c r="AR37" s="26">
        <v>102.83</v>
      </c>
      <c r="AS37" s="26">
        <v>81.19</v>
      </c>
      <c r="AT37" s="5">
        <f t="shared" si="3"/>
        <v>0.78955557716619662</v>
      </c>
      <c r="AU37" s="5">
        <v>0.53</v>
      </c>
    </row>
    <row r="38" spans="1:47" ht="19" x14ac:dyDescent="0.25">
      <c r="A38" s="20">
        <v>19</v>
      </c>
      <c r="B38" s="21" t="s">
        <v>82</v>
      </c>
      <c r="C38" s="22" t="s">
        <v>83</v>
      </c>
      <c r="D38" s="29">
        <v>35</v>
      </c>
      <c r="E38" s="29">
        <v>6</v>
      </c>
      <c r="F38" s="29">
        <v>1</v>
      </c>
      <c r="G38" s="29">
        <v>43</v>
      </c>
      <c r="H38" s="29">
        <v>55</v>
      </c>
      <c r="I38" s="29">
        <v>160</v>
      </c>
      <c r="J38" s="29">
        <v>21.4</v>
      </c>
      <c r="K38" s="29">
        <v>94</v>
      </c>
      <c r="L38" s="29">
        <v>64</v>
      </c>
      <c r="M38" s="29">
        <v>36.5</v>
      </c>
      <c r="N38" s="29">
        <v>12.8</v>
      </c>
      <c r="O38" s="29">
        <v>179</v>
      </c>
      <c r="P38" s="29">
        <v>44.5</v>
      </c>
      <c r="Q38" s="29">
        <v>111.1</v>
      </c>
      <c r="R38" s="29">
        <v>117</v>
      </c>
      <c r="S38" s="29">
        <v>6.63</v>
      </c>
      <c r="T38" s="29">
        <v>83.1</v>
      </c>
      <c r="U38" s="19">
        <v>73</v>
      </c>
      <c r="V38" s="19">
        <v>107</v>
      </c>
      <c r="W38" s="21" t="s">
        <v>84</v>
      </c>
      <c r="X38" s="23">
        <v>44747</v>
      </c>
      <c r="Y38" s="20">
        <v>35</v>
      </c>
      <c r="Z38" s="20">
        <v>0</v>
      </c>
      <c r="AA38" s="20">
        <v>35</v>
      </c>
      <c r="AB38" s="20">
        <v>65</v>
      </c>
      <c r="AC38" s="20">
        <v>1.6</v>
      </c>
      <c r="AD38" s="20">
        <f t="shared" si="4"/>
        <v>25.390624999999996</v>
      </c>
      <c r="AE38" s="20">
        <f t="shared" si="5"/>
        <v>10</v>
      </c>
      <c r="AF38" s="20" t="s">
        <v>289</v>
      </c>
      <c r="AG38" s="30">
        <v>44769</v>
      </c>
      <c r="AH38" s="25">
        <v>38</v>
      </c>
      <c r="AI38" s="25">
        <v>1</v>
      </c>
      <c r="AJ38" s="25" t="s">
        <v>291</v>
      </c>
      <c r="AK38" s="25">
        <v>2475</v>
      </c>
      <c r="AL38" s="20">
        <v>284</v>
      </c>
      <c r="AM38" s="20">
        <v>357</v>
      </c>
      <c r="AN38" s="20">
        <v>59</v>
      </c>
      <c r="AO38" s="20">
        <v>153</v>
      </c>
      <c r="AP38" s="20">
        <v>71</v>
      </c>
      <c r="AQ38" s="20">
        <f t="shared" si="6"/>
        <v>58.65921787709496</v>
      </c>
      <c r="AR38" s="26">
        <v>99.27</v>
      </c>
      <c r="AS38" s="26">
        <v>146.30000000000001</v>
      </c>
      <c r="AT38" s="5">
        <f t="shared" si="3"/>
        <v>1.4737584365870859</v>
      </c>
    </row>
    <row r="39" spans="1:47" ht="19" x14ac:dyDescent="0.25">
      <c r="A39" s="20">
        <v>50</v>
      </c>
      <c r="B39" s="21" t="s">
        <v>175</v>
      </c>
      <c r="C39" s="22" t="s">
        <v>176</v>
      </c>
      <c r="D39" s="19">
        <v>31</v>
      </c>
      <c r="E39" s="19">
        <v>8</v>
      </c>
      <c r="F39" s="19">
        <v>1</v>
      </c>
      <c r="G39" s="19">
        <v>57</v>
      </c>
      <c r="H39" s="19">
        <v>57</v>
      </c>
      <c r="I39" s="19">
        <v>164</v>
      </c>
      <c r="J39" s="19">
        <v>21.2</v>
      </c>
      <c r="K39" s="19">
        <v>107</v>
      </c>
      <c r="L39" s="19">
        <v>55</v>
      </c>
      <c r="M39" s="19">
        <v>39.4</v>
      </c>
      <c r="N39" s="19">
        <v>13.7</v>
      </c>
      <c r="O39" s="19">
        <v>156</v>
      </c>
      <c r="P39" s="19">
        <v>65.400000000000006</v>
      </c>
      <c r="Q39" s="19">
        <v>72.400000000000006</v>
      </c>
      <c r="R39" s="19">
        <v>91</v>
      </c>
      <c r="S39" s="19">
        <v>5.21</v>
      </c>
      <c r="T39" s="19">
        <v>76.099999999999994</v>
      </c>
      <c r="U39" s="19">
        <v>85.3</v>
      </c>
      <c r="V39" s="19">
        <v>137.6</v>
      </c>
      <c r="W39" s="21" t="s">
        <v>177</v>
      </c>
      <c r="X39" s="23">
        <v>44879</v>
      </c>
      <c r="Y39" s="20">
        <v>35</v>
      </c>
      <c r="Z39" s="20">
        <v>2</v>
      </c>
      <c r="AA39" s="20">
        <v>31</v>
      </c>
      <c r="AB39" s="20">
        <v>76</v>
      </c>
      <c r="AC39" s="20">
        <v>1.65</v>
      </c>
      <c r="AD39" s="20">
        <f t="shared" si="4"/>
        <v>27.915518824609737</v>
      </c>
      <c r="AE39" s="20">
        <f t="shared" si="5"/>
        <v>19</v>
      </c>
      <c r="AF39" s="20" t="s">
        <v>292</v>
      </c>
      <c r="AG39" s="30">
        <v>44909</v>
      </c>
      <c r="AH39" s="25">
        <v>39</v>
      </c>
      <c r="AI39" s="25">
        <v>4</v>
      </c>
      <c r="AJ39" s="25" t="s">
        <v>290</v>
      </c>
      <c r="AK39" s="25">
        <v>3110</v>
      </c>
      <c r="AL39" s="20">
        <v>283</v>
      </c>
      <c r="AM39" s="20">
        <v>312</v>
      </c>
      <c r="AN39" s="20">
        <v>80</v>
      </c>
      <c r="AO39" s="20">
        <v>139</v>
      </c>
      <c r="AP39" s="20">
        <v>62</v>
      </c>
      <c r="AQ39" s="20">
        <f t="shared" si="6"/>
        <v>81.410256410256409</v>
      </c>
      <c r="AR39" s="26">
        <v>116.56</v>
      </c>
      <c r="AS39" s="26">
        <v>102.94</v>
      </c>
      <c r="AT39" s="5">
        <f t="shared" si="3"/>
        <v>0.88315030885380919</v>
      </c>
      <c r="AU39" s="5">
        <v>0.56999999999999995</v>
      </c>
    </row>
    <row r="40" spans="1:47" ht="19" x14ac:dyDescent="0.25">
      <c r="A40" s="20">
        <v>9</v>
      </c>
      <c r="B40" s="21" t="s">
        <v>52</v>
      </c>
      <c r="C40" s="22" t="s">
        <v>53</v>
      </c>
      <c r="D40" s="19">
        <v>37</v>
      </c>
      <c r="E40" s="19">
        <v>7</v>
      </c>
      <c r="F40" s="19">
        <v>4</v>
      </c>
      <c r="G40" s="19">
        <v>53</v>
      </c>
      <c r="H40" s="19">
        <v>51</v>
      </c>
      <c r="I40" s="19">
        <v>160</v>
      </c>
      <c r="J40" s="19">
        <v>19.899999999999999</v>
      </c>
      <c r="K40" s="19">
        <v>95</v>
      </c>
      <c r="L40" s="19">
        <v>60</v>
      </c>
      <c r="M40" s="19">
        <v>37.6</v>
      </c>
      <c r="N40" s="19">
        <v>13</v>
      </c>
      <c r="O40" s="19">
        <v>192</v>
      </c>
      <c r="P40" s="19">
        <v>63.2</v>
      </c>
      <c r="Q40" s="19">
        <v>106.5</v>
      </c>
      <c r="R40" s="19">
        <v>111.6</v>
      </c>
      <c r="S40" s="19">
        <v>3.91</v>
      </c>
      <c r="T40" s="19">
        <v>77.099999999999994</v>
      </c>
      <c r="U40" s="19">
        <v>87.6</v>
      </c>
      <c r="V40" s="31">
        <v>135.4</v>
      </c>
      <c r="W40" s="21" t="s">
        <v>54</v>
      </c>
      <c r="X40" s="23">
        <v>44999</v>
      </c>
      <c r="Y40" s="20">
        <v>37</v>
      </c>
      <c r="Z40" s="20">
        <v>2</v>
      </c>
      <c r="AA40" s="20">
        <v>37</v>
      </c>
      <c r="AB40" s="20">
        <v>63.9</v>
      </c>
      <c r="AC40" s="20">
        <v>1.6</v>
      </c>
      <c r="AD40" s="20">
        <f t="shared" si="4"/>
        <v>24.960937499999993</v>
      </c>
      <c r="AE40" s="20">
        <f t="shared" si="5"/>
        <v>12.899999999999999</v>
      </c>
      <c r="AF40" s="20" t="s">
        <v>292</v>
      </c>
      <c r="AG40" s="27">
        <v>45016</v>
      </c>
      <c r="AH40" s="28">
        <v>39</v>
      </c>
      <c r="AI40" s="28">
        <v>6</v>
      </c>
      <c r="AJ40" s="28" t="s">
        <v>291</v>
      </c>
      <c r="AK40" s="28">
        <v>3790</v>
      </c>
      <c r="AL40" s="20">
        <v>283</v>
      </c>
      <c r="AM40" s="20">
        <v>225</v>
      </c>
      <c r="AN40" s="20">
        <v>56</v>
      </c>
      <c r="AO40" s="20">
        <v>182</v>
      </c>
      <c r="AP40" s="20">
        <v>45</v>
      </c>
      <c r="AQ40" s="20">
        <f t="shared" si="6"/>
        <v>47.395833333333343</v>
      </c>
      <c r="AR40" s="26">
        <v>104.16</v>
      </c>
      <c r="AS40" s="26">
        <v>96.02</v>
      </c>
      <c r="AT40" s="5">
        <f t="shared" si="3"/>
        <v>0.92185099846390173</v>
      </c>
    </row>
    <row r="41" spans="1:47" ht="19" x14ac:dyDescent="0.25">
      <c r="A41" s="20">
        <v>42</v>
      </c>
      <c r="B41" s="21" t="s">
        <v>151</v>
      </c>
      <c r="C41" s="22" t="s">
        <v>152</v>
      </c>
      <c r="D41" s="19">
        <v>32</v>
      </c>
      <c r="E41" s="19">
        <v>9</v>
      </c>
      <c r="F41" s="19">
        <v>6</v>
      </c>
      <c r="G41" s="19">
        <v>69</v>
      </c>
      <c r="H41" s="19">
        <v>60</v>
      </c>
      <c r="I41" s="19">
        <v>166</v>
      </c>
      <c r="J41" s="19">
        <v>21.8</v>
      </c>
      <c r="K41" s="19">
        <v>105</v>
      </c>
      <c r="L41" s="19">
        <v>60</v>
      </c>
      <c r="M41" s="19">
        <v>39.4</v>
      </c>
      <c r="N41" s="19">
        <v>14</v>
      </c>
      <c r="O41" s="19">
        <v>161</v>
      </c>
      <c r="P41" s="19">
        <v>51.7</v>
      </c>
      <c r="Q41" s="19">
        <v>91.5</v>
      </c>
      <c r="R41" s="19">
        <v>89</v>
      </c>
      <c r="S41" s="19">
        <v>10.32</v>
      </c>
      <c r="T41" s="19">
        <v>78.7</v>
      </c>
      <c r="U41" s="19">
        <v>80</v>
      </c>
      <c r="V41" s="31">
        <v>123.1</v>
      </c>
      <c r="W41" s="21" t="s">
        <v>153</v>
      </c>
      <c r="X41" s="23">
        <v>44881</v>
      </c>
      <c r="Y41" s="20">
        <v>35</v>
      </c>
      <c r="Z41" s="20">
        <v>3</v>
      </c>
      <c r="AA41" s="20">
        <v>33</v>
      </c>
      <c r="AB41" s="20">
        <v>74</v>
      </c>
      <c r="AC41" s="20">
        <v>1.66</v>
      </c>
      <c r="AD41" s="20">
        <f t="shared" si="4"/>
        <v>26.854405574103644</v>
      </c>
      <c r="AE41" s="20">
        <f t="shared" si="5"/>
        <v>14</v>
      </c>
      <c r="AF41" s="20" t="s">
        <v>289</v>
      </c>
      <c r="AG41" s="30">
        <v>44907</v>
      </c>
      <c r="AH41" s="25">
        <v>39</v>
      </c>
      <c r="AI41" s="25">
        <v>2</v>
      </c>
      <c r="AJ41" s="25" t="s">
        <v>290</v>
      </c>
      <c r="AK41" s="25">
        <v>3585</v>
      </c>
      <c r="AL41" s="20">
        <v>281</v>
      </c>
      <c r="AM41" s="20">
        <v>249</v>
      </c>
      <c r="AN41" s="20">
        <v>50</v>
      </c>
      <c r="AO41" s="20">
        <v>181</v>
      </c>
      <c r="AP41" s="20">
        <v>49</v>
      </c>
      <c r="AQ41" s="20">
        <f t="shared" si="6"/>
        <v>74.534161490683232</v>
      </c>
      <c r="AR41" s="26">
        <v>96.01</v>
      </c>
      <c r="AS41" s="26">
        <v>85.13</v>
      </c>
      <c r="AT41" s="5">
        <f t="shared" si="3"/>
        <v>0.88667847099260488</v>
      </c>
    </row>
    <row r="42" spans="1:47" ht="19" x14ac:dyDescent="0.25">
      <c r="A42" s="20">
        <v>34</v>
      </c>
      <c r="B42" s="21" t="s">
        <v>127</v>
      </c>
      <c r="C42" s="22" t="s">
        <v>128</v>
      </c>
      <c r="D42" s="19">
        <v>33</v>
      </c>
      <c r="E42" s="19">
        <v>7</v>
      </c>
      <c r="F42" s="19">
        <v>2</v>
      </c>
      <c r="G42" s="19">
        <v>51</v>
      </c>
      <c r="H42" s="19">
        <v>76</v>
      </c>
      <c r="I42" s="19">
        <v>170</v>
      </c>
      <c r="J42" s="19">
        <v>26.3</v>
      </c>
      <c r="K42" s="19">
        <v>106</v>
      </c>
      <c r="L42" s="19">
        <v>55</v>
      </c>
      <c r="M42" s="19">
        <v>38.5</v>
      </c>
      <c r="N42" s="19">
        <v>13.3</v>
      </c>
      <c r="O42" s="19">
        <v>223</v>
      </c>
      <c r="P42" s="19">
        <v>72.900000000000006</v>
      </c>
      <c r="Q42" s="19">
        <v>123.9</v>
      </c>
      <c r="R42" s="19">
        <v>131</v>
      </c>
      <c r="S42" s="19">
        <v>6.59</v>
      </c>
      <c r="T42" s="19">
        <v>76.400000000000006</v>
      </c>
      <c r="U42" s="31">
        <v>68.900000000000006</v>
      </c>
      <c r="V42" s="19">
        <v>109</v>
      </c>
      <c r="W42" s="21" t="s">
        <v>129</v>
      </c>
      <c r="X42" s="23">
        <v>44858</v>
      </c>
      <c r="Y42" s="20">
        <v>36</v>
      </c>
      <c r="Z42" s="20">
        <v>1</v>
      </c>
      <c r="AA42" s="20">
        <v>33</v>
      </c>
      <c r="AB42" s="20">
        <v>91</v>
      </c>
      <c r="AC42" s="20">
        <v>1.7</v>
      </c>
      <c r="AD42" s="20">
        <f t="shared" si="4"/>
        <v>31.487889273356405</v>
      </c>
      <c r="AE42" s="20">
        <f t="shared" si="5"/>
        <v>15</v>
      </c>
      <c r="AF42" s="20" t="s">
        <v>292</v>
      </c>
      <c r="AG42" s="30">
        <v>44888</v>
      </c>
      <c r="AH42" s="25">
        <v>40</v>
      </c>
      <c r="AI42" s="25">
        <v>3</v>
      </c>
      <c r="AJ42" s="25" t="s">
        <v>291</v>
      </c>
      <c r="AK42" s="25">
        <v>2855</v>
      </c>
      <c r="AL42" s="20">
        <v>279</v>
      </c>
      <c r="AM42" s="20">
        <v>227</v>
      </c>
      <c r="AN42" s="20">
        <v>84</v>
      </c>
      <c r="AO42" s="20">
        <v>149</v>
      </c>
      <c r="AP42" s="20">
        <v>45</v>
      </c>
      <c r="AQ42" s="20">
        <f t="shared" si="6"/>
        <v>25.11210762331838</v>
      </c>
      <c r="AR42" s="26">
        <v>118.91</v>
      </c>
      <c r="AS42" s="26">
        <v>108.12</v>
      </c>
      <c r="AT42" s="5">
        <f t="shared" si="3"/>
        <v>0.90925910352367345</v>
      </c>
    </row>
    <row r="43" spans="1:47" ht="19" x14ac:dyDescent="0.25">
      <c r="A43" s="20">
        <v>13</v>
      </c>
      <c r="B43" s="21" t="s">
        <v>64</v>
      </c>
      <c r="C43" s="22" t="s">
        <v>65</v>
      </c>
      <c r="D43" s="19">
        <v>36</v>
      </c>
      <c r="E43" s="19">
        <v>14</v>
      </c>
      <c r="F43" s="19">
        <v>4</v>
      </c>
      <c r="G43" s="19">
        <v>102</v>
      </c>
      <c r="H43" s="19">
        <v>76</v>
      </c>
      <c r="I43" s="19">
        <v>167</v>
      </c>
      <c r="J43" s="19">
        <v>27.3</v>
      </c>
      <c r="K43" s="19">
        <v>134</v>
      </c>
      <c r="L43" s="19">
        <v>82</v>
      </c>
      <c r="M43" s="19">
        <v>37.6</v>
      </c>
      <c r="N43" s="19">
        <v>13</v>
      </c>
      <c r="O43" s="19">
        <v>180</v>
      </c>
      <c r="P43" s="19">
        <v>59.7</v>
      </c>
      <c r="Q43" s="19">
        <v>95.8</v>
      </c>
      <c r="R43" s="19">
        <v>122.6</v>
      </c>
      <c r="S43" s="19">
        <v>6.25</v>
      </c>
      <c r="T43" s="19">
        <v>81.8</v>
      </c>
      <c r="U43" s="19">
        <v>84</v>
      </c>
      <c r="V43" s="19">
        <v>104</v>
      </c>
      <c r="W43" s="21" t="s">
        <v>66</v>
      </c>
      <c r="X43" s="23">
        <v>44917</v>
      </c>
      <c r="Y43" s="20">
        <v>36</v>
      </c>
      <c r="Z43" s="20">
        <v>3</v>
      </c>
      <c r="AA43" s="20">
        <v>36</v>
      </c>
      <c r="AB43" s="20">
        <v>83</v>
      </c>
      <c r="AC43" s="20">
        <v>1.67</v>
      </c>
      <c r="AD43" s="20">
        <f t="shared" si="4"/>
        <v>29.760837606224676</v>
      </c>
      <c r="AE43" s="20">
        <f t="shared" si="5"/>
        <v>7</v>
      </c>
      <c r="AF43" s="20" t="s">
        <v>289</v>
      </c>
      <c r="AG43" s="24">
        <v>44949</v>
      </c>
      <c r="AH43" s="25">
        <v>41</v>
      </c>
      <c r="AI43" s="25">
        <v>0</v>
      </c>
      <c r="AJ43" s="25" t="s">
        <v>291</v>
      </c>
      <c r="AK43" s="25">
        <v>2960</v>
      </c>
      <c r="AL43" s="20">
        <v>278</v>
      </c>
      <c r="AM43" s="20">
        <v>273</v>
      </c>
      <c r="AN43" s="20">
        <v>57</v>
      </c>
      <c r="AO43" s="20">
        <v>166</v>
      </c>
      <c r="AP43" s="20">
        <v>55</v>
      </c>
      <c r="AQ43" s="20">
        <f t="shared" si="6"/>
        <v>54.444444444444457</v>
      </c>
      <c r="AR43" s="26">
        <v>101.2</v>
      </c>
      <c r="AS43" s="26">
        <v>118.44</v>
      </c>
      <c r="AT43" s="5">
        <f t="shared" si="3"/>
        <v>1.1703557312252963</v>
      </c>
    </row>
    <row r="44" spans="1:47" ht="19" x14ac:dyDescent="0.25">
      <c r="A44" s="20">
        <v>66</v>
      </c>
      <c r="B44" s="21" t="s">
        <v>223</v>
      </c>
      <c r="C44" s="22" t="s">
        <v>224</v>
      </c>
      <c r="D44" s="19">
        <v>28</v>
      </c>
      <c r="E44" s="19">
        <v>10</v>
      </c>
      <c r="F44" s="19">
        <v>0</v>
      </c>
      <c r="G44" s="19">
        <v>70</v>
      </c>
      <c r="H44" s="19">
        <v>42</v>
      </c>
      <c r="I44" s="19">
        <v>157</v>
      </c>
      <c r="J44" s="19">
        <v>17.03</v>
      </c>
      <c r="K44" s="19">
        <v>82</v>
      </c>
      <c r="L44" s="19">
        <v>56</v>
      </c>
      <c r="M44" s="19">
        <v>36.4</v>
      </c>
      <c r="N44" s="19">
        <v>13</v>
      </c>
      <c r="O44" s="19">
        <v>181</v>
      </c>
      <c r="P44" s="19">
        <v>58.8</v>
      </c>
      <c r="Q44" s="19">
        <v>103.4</v>
      </c>
      <c r="R44" s="19">
        <v>94</v>
      </c>
      <c r="S44" s="19">
        <v>2.27</v>
      </c>
      <c r="T44" s="19">
        <v>79.3</v>
      </c>
      <c r="U44" s="19">
        <v>80.099999999999994</v>
      </c>
      <c r="V44" s="32">
        <v>139.9</v>
      </c>
      <c r="W44" s="21" t="s">
        <v>225</v>
      </c>
      <c r="X44" s="23">
        <v>44776</v>
      </c>
      <c r="Y44" s="20">
        <v>36</v>
      </c>
      <c r="Z44" s="20">
        <v>6</v>
      </c>
      <c r="AA44" s="20">
        <v>29</v>
      </c>
      <c r="AB44" s="20">
        <v>50</v>
      </c>
      <c r="AC44" s="20">
        <v>1.57</v>
      </c>
      <c r="AD44" s="20">
        <f t="shared" si="4"/>
        <v>20.28479857195018</v>
      </c>
      <c r="AE44" s="20">
        <f t="shared" si="5"/>
        <v>8</v>
      </c>
      <c r="AF44" s="20" t="s">
        <v>289</v>
      </c>
      <c r="AG44" s="24">
        <v>44795</v>
      </c>
      <c r="AH44" s="25">
        <v>39</v>
      </c>
      <c r="AI44" s="25">
        <v>4</v>
      </c>
      <c r="AJ44" s="25" t="s">
        <v>291</v>
      </c>
      <c r="AK44" s="25">
        <v>3185</v>
      </c>
      <c r="AL44" s="20">
        <v>277</v>
      </c>
      <c r="AM44" s="20">
        <v>452</v>
      </c>
      <c r="AN44" s="20">
        <v>61</v>
      </c>
      <c r="AO44" s="20">
        <v>217</v>
      </c>
      <c r="AP44" s="20">
        <v>0</v>
      </c>
      <c r="AQ44" s="20">
        <f t="shared" si="6"/>
        <v>53.038674033149164</v>
      </c>
      <c r="AR44" s="26">
        <v>92.58</v>
      </c>
      <c r="AS44" s="26">
        <v>98.18</v>
      </c>
      <c r="AT44" s="5">
        <f t="shared" si="3"/>
        <v>1.0604882263987903</v>
      </c>
    </row>
    <row r="45" spans="1:47" ht="19" x14ac:dyDescent="0.25">
      <c r="A45" s="20">
        <v>28</v>
      </c>
      <c r="B45" s="21" t="s">
        <v>109</v>
      </c>
      <c r="C45" s="22" t="s">
        <v>110</v>
      </c>
      <c r="D45" s="19">
        <v>34</v>
      </c>
      <c r="E45" s="19">
        <v>9</v>
      </c>
      <c r="F45" s="19">
        <v>1</v>
      </c>
      <c r="G45" s="19">
        <v>64</v>
      </c>
      <c r="H45" s="19">
        <v>76</v>
      </c>
      <c r="I45" s="19">
        <v>170</v>
      </c>
      <c r="J45" s="19">
        <v>26.3</v>
      </c>
      <c r="K45" s="19">
        <v>115</v>
      </c>
      <c r="L45" s="19">
        <v>72</v>
      </c>
      <c r="M45" s="19">
        <v>36.1</v>
      </c>
      <c r="N45" s="19">
        <v>13</v>
      </c>
      <c r="O45" s="19">
        <v>205</v>
      </c>
      <c r="P45" s="19">
        <v>45.2</v>
      </c>
      <c r="Q45" s="19">
        <v>121.2</v>
      </c>
      <c r="R45" s="19">
        <v>193</v>
      </c>
      <c r="S45" s="19">
        <v>5.67</v>
      </c>
      <c r="T45" s="19">
        <v>81.099999999999994</v>
      </c>
      <c r="U45" s="19">
        <v>80</v>
      </c>
      <c r="V45" s="31">
        <v>121</v>
      </c>
      <c r="W45" s="21" t="s">
        <v>111</v>
      </c>
      <c r="X45" s="23">
        <v>44838</v>
      </c>
      <c r="Y45" s="20">
        <v>37</v>
      </c>
      <c r="Z45" s="20">
        <v>6</v>
      </c>
      <c r="AA45" s="20">
        <v>35</v>
      </c>
      <c r="AB45" s="20">
        <v>95</v>
      </c>
      <c r="AC45" s="20">
        <v>1.69</v>
      </c>
      <c r="AD45" s="20">
        <f t="shared" si="4"/>
        <v>33.262140681348697</v>
      </c>
      <c r="AE45" s="20">
        <f t="shared" si="5"/>
        <v>19</v>
      </c>
      <c r="AF45" s="20" t="s">
        <v>289</v>
      </c>
      <c r="AG45" s="24">
        <v>44840</v>
      </c>
      <c r="AH45" s="25">
        <v>38</v>
      </c>
      <c r="AI45" s="25">
        <v>1</v>
      </c>
      <c r="AJ45" s="25" t="s">
        <v>291</v>
      </c>
      <c r="AK45" s="25">
        <v>3690</v>
      </c>
      <c r="AL45" s="20">
        <v>276</v>
      </c>
      <c r="AM45" s="20">
        <v>360</v>
      </c>
      <c r="AN45" s="20">
        <v>37</v>
      </c>
      <c r="AO45" s="20">
        <v>167</v>
      </c>
      <c r="AP45" s="20">
        <v>72</v>
      </c>
      <c r="AQ45" s="20">
        <f t="shared" si="6"/>
        <v>34.634146341463406</v>
      </c>
      <c r="AR45" s="26">
        <v>79.78</v>
      </c>
      <c r="AS45" s="26">
        <v>128.74</v>
      </c>
      <c r="AT45" s="5">
        <f t="shared" si="3"/>
        <v>1.6136876410127852</v>
      </c>
    </row>
    <row r="46" spans="1:47" ht="19" x14ac:dyDescent="0.25">
      <c r="A46" s="20">
        <v>81</v>
      </c>
      <c r="B46" s="21" t="s">
        <v>268</v>
      </c>
      <c r="C46" s="22" t="s">
        <v>269</v>
      </c>
      <c r="D46" s="19">
        <v>33</v>
      </c>
      <c r="E46" s="19">
        <v>10</v>
      </c>
      <c r="F46" s="19">
        <v>4</v>
      </c>
      <c r="G46" s="19">
        <v>44</v>
      </c>
      <c r="H46" s="19">
        <v>60</v>
      </c>
      <c r="I46" s="19">
        <v>170</v>
      </c>
      <c r="J46" s="19">
        <v>20.7</v>
      </c>
      <c r="K46" s="19">
        <v>112</v>
      </c>
      <c r="L46" s="19">
        <v>80</v>
      </c>
      <c r="M46" s="19">
        <v>38.5</v>
      </c>
      <c r="N46" s="19">
        <v>13.7</v>
      </c>
      <c r="O46" s="19">
        <v>155</v>
      </c>
      <c r="P46" s="19">
        <v>68.599999999999994</v>
      </c>
      <c r="Q46" s="19">
        <v>75.400000000000006</v>
      </c>
      <c r="R46" s="19">
        <v>55</v>
      </c>
      <c r="S46" s="19">
        <v>2.2999999999999998</v>
      </c>
      <c r="T46" s="19">
        <v>74.900000000000006</v>
      </c>
      <c r="U46" s="19">
        <v>76</v>
      </c>
      <c r="V46" s="31">
        <v>63</v>
      </c>
      <c r="W46" s="21" t="s">
        <v>270</v>
      </c>
      <c r="X46" s="23">
        <v>44754</v>
      </c>
      <c r="Y46" s="20">
        <v>35</v>
      </c>
      <c r="Z46" s="20">
        <v>0</v>
      </c>
      <c r="AA46" s="20">
        <v>34</v>
      </c>
      <c r="AB46" s="20">
        <v>71</v>
      </c>
      <c r="AC46" s="20">
        <v>1.7</v>
      </c>
      <c r="AD46" s="20">
        <f t="shared" si="4"/>
        <v>24.567474048442911</v>
      </c>
      <c r="AE46" s="20">
        <f t="shared" si="5"/>
        <v>11</v>
      </c>
      <c r="AF46" s="20" t="s">
        <v>292</v>
      </c>
      <c r="AG46" s="24">
        <v>44785</v>
      </c>
      <c r="AH46" s="25">
        <v>39</v>
      </c>
      <c r="AI46" s="25">
        <v>3</v>
      </c>
      <c r="AJ46" s="25" t="s">
        <v>290</v>
      </c>
      <c r="AK46" s="25">
        <v>3175</v>
      </c>
      <c r="AL46" s="20">
        <v>272</v>
      </c>
      <c r="AM46" s="20">
        <v>226</v>
      </c>
      <c r="AN46" s="20">
        <v>54</v>
      </c>
      <c r="AO46" s="20">
        <v>172</v>
      </c>
      <c r="AP46" s="20">
        <v>45</v>
      </c>
      <c r="AQ46" s="20">
        <f t="shared" si="6"/>
        <v>75.483870967741922</v>
      </c>
      <c r="AR46" s="26">
        <v>99.27</v>
      </c>
      <c r="AS46" s="26">
        <v>58.03</v>
      </c>
      <c r="AT46" s="5">
        <f t="shared" si="3"/>
        <v>0.58456734159363355</v>
      </c>
    </row>
    <row r="47" spans="1:47" ht="19" x14ac:dyDescent="0.25">
      <c r="A47" s="20">
        <v>6</v>
      </c>
      <c r="B47" s="21" t="s">
        <v>43</v>
      </c>
      <c r="C47" s="22" t="s">
        <v>44</v>
      </c>
      <c r="D47" s="19">
        <v>37</v>
      </c>
      <c r="E47" s="19">
        <v>8</v>
      </c>
      <c r="F47" s="19">
        <v>2</v>
      </c>
      <c r="G47" s="19">
        <v>58</v>
      </c>
      <c r="H47" s="19">
        <v>65</v>
      </c>
      <c r="I47" s="19">
        <v>157</v>
      </c>
      <c r="J47" s="19">
        <v>26.3</v>
      </c>
      <c r="K47" s="19">
        <v>103</v>
      </c>
      <c r="L47" s="19">
        <v>62</v>
      </c>
      <c r="M47" s="19">
        <v>35.700000000000003</v>
      </c>
      <c r="N47" s="19">
        <v>12.6</v>
      </c>
      <c r="O47" s="19">
        <v>166</v>
      </c>
      <c r="P47" s="19">
        <v>57.6</v>
      </c>
      <c r="Q47" s="19">
        <v>83</v>
      </c>
      <c r="R47" s="19">
        <v>127</v>
      </c>
      <c r="S47" s="19">
        <v>5.64</v>
      </c>
      <c r="T47" s="19">
        <v>88.1</v>
      </c>
      <c r="U47" s="19">
        <v>77.099999999999994</v>
      </c>
      <c r="V47" s="31">
        <v>126.4</v>
      </c>
      <c r="W47" s="21" t="s">
        <v>45</v>
      </c>
      <c r="X47" s="23">
        <v>44763</v>
      </c>
      <c r="Y47" s="20">
        <v>34</v>
      </c>
      <c r="Z47" s="20">
        <v>3</v>
      </c>
      <c r="AA47" s="20">
        <v>37</v>
      </c>
      <c r="AB47" s="20">
        <v>70</v>
      </c>
      <c r="AC47" s="20">
        <v>1.57</v>
      </c>
      <c r="AD47" s="20">
        <f t="shared" si="4"/>
        <v>28.398718000730252</v>
      </c>
      <c r="AE47" s="20">
        <f t="shared" si="5"/>
        <v>5</v>
      </c>
      <c r="AF47" s="20" t="s">
        <v>289</v>
      </c>
      <c r="AG47" s="24">
        <v>44794</v>
      </c>
      <c r="AH47" s="25">
        <v>38</v>
      </c>
      <c r="AI47" s="25">
        <v>6</v>
      </c>
      <c r="AJ47" s="25" t="s">
        <v>290</v>
      </c>
      <c r="AK47" s="25">
        <v>3385</v>
      </c>
      <c r="AL47" s="20">
        <v>271</v>
      </c>
      <c r="AM47" s="20">
        <v>285</v>
      </c>
      <c r="AN47" s="20">
        <v>67</v>
      </c>
      <c r="AO47" s="20">
        <v>146</v>
      </c>
      <c r="AP47" s="20">
        <v>57</v>
      </c>
      <c r="AQ47" s="20">
        <f t="shared" si="6"/>
        <v>63.253012048192772</v>
      </c>
      <c r="AR47" s="26">
        <v>112.87</v>
      </c>
      <c r="AS47" s="26">
        <v>86.45</v>
      </c>
      <c r="AT47" s="5">
        <f t="shared" si="3"/>
        <v>0.76592540090369454</v>
      </c>
    </row>
    <row r="48" spans="1:47" ht="19" x14ac:dyDescent="0.25">
      <c r="A48" s="20">
        <v>23</v>
      </c>
      <c r="B48" s="21" t="s">
        <v>94</v>
      </c>
      <c r="C48" s="22" t="s">
        <v>95</v>
      </c>
      <c r="D48" s="19">
        <v>33</v>
      </c>
      <c r="E48" s="19">
        <v>6</v>
      </c>
      <c r="F48" s="19">
        <v>4</v>
      </c>
      <c r="G48" s="19">
        <v>46</v>
      </c>
      <c r="H48" s="19">
        <v>57</v>
      </c>
      <c r="I48" s="19">
        <v>162</v>
      </c>
      <c r="J48" s="19">
        <v>21.7</v>
      </c>
      <c r="K48" s="19">
        <v>110</v>
      </c>
      <c r="L48" s="19">
        <v>69</v>
      </c>
      <c r="M48" s="19">
        <v>40.799999999999997</v>
      </c>
      <c r="N48" s="19">
        <v>14.9</v>
      </c>
      <c r="O48" s="19">
        <v>181</v>
      </c>
      <c r="P48" s="19">
        <v>68</v>
      </c>
      <c r="Q48" s="19">
        <v>90.2</v>
      </c>
      <c r="R48" s="19">
        <v>114</v>
      </c>
      <c r="S48" s="19">
        <v>4.6500000000000004</v>
      </c>
      <c r="T48" s="19">
        <v>78.2</v>
      </c>
      <c r="U48" s="19">
        <v>94.8</v>
      </c>
      <c r="V48" s="19">
        <v>109.3</v>
      </c>
      <c r="W48" s="21" t="s">
        <v>96</v>
      </c>
      <c r="X48" s="23">
        <v>44908</v>
      </c>
      <c r="Y48" s="20">
        <v>36</v>
      </c>
      <c r="Z48" s="20">
        <v>4</v>
      </c>
      <c r="AA48" s="20">
        <v>34</v>
      </c>
      <c r="AB48" s="20">
        <v>67</v>
      </c>
      <c r="AC48" s="20">
        <v>1.63</v>
      </c>
      <c r="AD48" s="20">
        <f t="shared" si="4"/>
        <v>25.217358575783809</v>
      </c>
      <c r="AE48" s="20">
        <f t="shared" si="5"/>
        <v>10</v>
      </c>
      <c r="AF48" s="20" t="s">
        <v>289</v>
      </c>
      <c r="AG48" s="24">
        <v>44935</v>
      </c>
      <c r="AH48" s="25">
        <v>40</v>
      </c>
      <c r="AI48" s="25">
        <v>3</v>
      </c>
      <c r="AJ48" s="25" t="s">
        <v>290</v>
      </c>
      <c r="AK48" s="25">
        <v>3450</v>
      </c>
      <c r="AL48" s="20">
        <v>270</v>
      </c>
      <c r="AM48" s="20">
        <v>221</v>
      </c>
      <c r="AN48" s="20">
        <v>76</v>
      </c>
      <c r="AO48" s="20">
        <v>151</v>
      </c>
      <c r="AP48" s="20">
        <v>42</v>
      </c>
      <c r="AQ48" s="20">
        <f t="shared" si="6"/>
        <v>49.171270718232051</v>
      </c>
      <c r="AR48" s="26">
        <v>74.59</v>
      </c>
      <c r="AS48" s="26">
        <v>87.75</v>
      </c>
      <c r="AT48" s="5">
        <f t="shared" si="3"/>
        <v>1.1764311569915538</v>
      </c>
    </row>
    <row r="49" spans="1:47" ht="19" x14ac:dyDescent="0.25">
      <c r="A49" s="20">
        <v>57</v>
      </c>
      <c r="B49" s="21" t="s">
        <v>196</v>
      </c>
      <c r="C49" s="22" t="s">
        <v>197</v>
      </c>
      <c r="D49" s="19">
        <v>30</v>
      </c>
      <c r="E49" s="19">
        <v>13</v>
      </c>
      <c r="F49" s="19">
        <v>0</v>
      </c>
      <c r="G49" s="19">
        <v>91</v>
      </c>
      <c r="H49" s="19">
        <v>74</v>
      </c>
      <c r="I49" s="19">
        <v>170</v>
      </c>
      <c r="J49" s="19">
        <v>25.6</v>
      </c>
      <c r="K49" s="19">
        <v>122</v>
      </c>
      <c r="L49" s="19">
        <v>71</v>
      </c>
      <c r="M49" s="19">
        <v>39.700000000000003</v>
      </c>
      <c r="N49" s="19">
        <v>14.1</v>
      </c>
      <c r="O49" s="19">
        <v>194</v>
      </c>
      <c r="P49" s="19">
        <v>52.9</v>
      </c>
      <c r="Q49" s="19">
        <v>114.9</v>
      </c>
      <c r="R49" s="19">
        <v>131</v>
      </c>
      <c r="S49" s="19">
        <v>7</v>
      </c>
      <c r="T49" s="19">
        <v>90</v>
      </c>
      <c r="U49" s="19">
        <v>94</v>
      </c>
      <c r="V49" s="31">
        <v>131</v>
      </c>
      <c r="W49" s="21" t="s">
        <v>198</v>
      </c>
      <c r="X49" s="23">
        <v>44748</v>
      </c>
      <c r="Y49" s="20">
        <v>36</v>
      </c>
      <c r="Z49" s="20">
        <v>2</v>
      </c>
      <c r="AA49" s="20">
        <v>31</v>
      </c>
      <c r="AB49" s="20">
        <v>81</v>
      </c>
      <c r="AC49" s="20">
        <v>1.7</v>
      </c>
      <c r="AD49" s="20">
        <f t="shared" si="4"/>
        <v>28.027681660899656</v>
      </c>
      <c r="AE49" s="20">
        <f t="shared" si="5"/>
        <v>7</v>
      </c>
      <c r="AF49" s="20" t="s">
        <v>289</v>
      </c>
      <c r="AG49" s="24">
        <v>44766</v>
      </c>
      <c r="AH49" s="25">
        <v>38</v>
      </c>
      <c r="AI49" s="25">
        <v>6</v>
      </c>
      <c r="AJ49" s="25" t="s">
        <v>291</v>
      </c>
      <c r="AK49" s="25">
        <v>3470</v>
      </c>
      <c r="AL49" s="20">
        <v>269</v>
      </c>
      <c r="AM49" s="20">
        <v>267</v>
      </c>
      <c r="AN49" s="20">
        <v>61</v>
      </c>
      <c r="AO49" s="20">
        <v>153</v>
      </c>
      <c r="AP49" s="20">
        <v>53</v>
      </c>
      <c r="AQ49" s="20">
        <f t="shared" si="6"/>
        <v>38.659793814432987</v>
      </c>
      <c r="AR49" s="26"/>
      <c r="AS49" s="26"/>
    </row>
    <row r="50" spans="1:47" ht="19" x14ac:dyDescent="0.25">
      <c r="A50" s="20">
        <v>59</v>
      </c>
      <c r="B50" s="21" t="s">
        <v>202</v>
      </c>
      <c r="C50" s="22" t="s">
        <v>203</v>
      </c>
      <c r="D50" s="19">
        <v>30</v>
      </c>
      <c r="E50" s="19">
        <v>10</v>
      </c>
      <c r="F50" s="19">
        <v>1</v>
      </c>
      <c r="G50" s="19">
        <v>71</v>
      </c>
      <c r="H50" s="19">
        <v>68</v>
      </c>
      <c r="I50" s="19">
        <v>167</v>
      </c>
      <c r="J50" s="19">
        <v>24.4</v>
      </c>
      <c r="K50" s="19">
        <v>101</v>
      </c>
      <c r="L50" s="19">
        <v>69</v>
      </c>
      <c r="M50" s="19">
        <v>36.4</v>
      </c>
      <c r="N50" s="19">
        <v>13.1</v>
      </c>
      <c r="O50" s="19">
        <v>156</v>
      </c>
      <c r="P50" s="19">
        <v>65.599999999999994</v>
      </c>
      <c r="Q50" s="19">
        <v>75.2</v>
      </c>
      <c r="R50" s="19">
        <v>76</v>
      </c>
      <c r="S50" s="19">
        <v>5.77</v>
      </c>
      <c r="T50" s="19">
        <v>72.5</v>
      </c>
      <c r="U50" s="19">
        <v>75</v>
      </c>
      <c r="V50" s="19">
        <v>91</v>
      </c>
      <c r="W50" s="21" t="s">
        <v>204</v>
      </c>
      <c r="X50" s="23">
        <v>44827</v>
      </c>
      <c r="Y50" s="20">
        <v>36</v>
      </c>
      <c r="Z50" s="20">
        <v>0</v>
      </c>
      <c r="AA50" s="20">
        <v>30</v>
      </c>
      <c r="AB50" s="20">
        <v>87</v>
      </c>
      <c r="AC50" s="20">
        <v>1.66</v>
      </c>
      <c r="AD50" s="20">
        <f t="shared" si="4"/>
        <v>31.572071418202935</v>
      </c>
      <c r="AE50" s="20">
        <f t="shared" si="5"/>
        <v>19</v>
      </c>
      <c r="AF50" s="20" t="s">
        <v>292</v>
      </c>
      <c r="AG50" s="30">
        <v>44858</v>
      </c>
      <c r="AH50" s="25">
        <v>40</v>
      </c>
      <c r="AI50" s="25">
        <v>2</v>
      </c>
      <c r="AJ50" s="25" t="s">
        <v>291</v>
      </c>
      <c r="AK50" s="25">
        <v>3505</v>
      </c>
      <c r="AL50" s="20">
        <v>262</v>
      </c>
      <c r="AM50" s="20">
        <v>310</v>
      </c>
      <c r="AN50" s="20">
        <v>73</v>
      </c>
      <c r="AO50" s="20">
        <v>127</v>
      </c>
      <c r="AP50" s="20">
        <v>62</v>
      </c>
      <c r="AQ50" s="20">
        <f t="shared" si="6"/>
        <v>67.948717948717956</v>
      </c>
      <c r="AR50" s="26">
        <v>121.71</v>
      </c>
      <c r="AS50" s="26">
        <v>70.819999999999993</v>
      </c>
      <c r="AT50" s="5">
        <f t="shared" si="3"/>
        <v>0.58187494864842659</v>
      </c>
    </row>
    <row r="51" spans="1:47" ht="19" x14ac:dyDescent="0.25">
      <c r="A51" s="20">
        <v>29</v>
      </c>
      <c r="B51" s="21" t="s">
        <v>112</v>
      </c>
      <c r="C51" s="22" t="s">
        <v>113</v>
      </c>
      <c r="D51" s="19">
        <v>34</v>
      </c>
      <c r="E51" s="19">
        <v>11</v>
      </c>
      <c r="F51" s="19">
        <v>3</v>
      </c>
      <c r="G51" s="19">
        <v>80</v>
      </c>
      <c r="H51" s="19">
        <v>53</v>
      </c>
      <c r="I51" s="19">
        <v>168</v>
      </c>
      <c r="J51" s="19">
        <v>18.8</v>
      </c>
      <c r="K51" s="19">
        <v>104</v>
      </c>
      <c r="L51" s="19">
        <v>43</v>
      </c>
      <c r="M51" s="19">
        <v>38.700000000000003</v>
      </c>
      <c r="N51" s="19">
        <v>13.8</v>
      </c>
      <c r="O51" s="19">
        <v>163</v>
      </c>
      <c r="P51" s="19">
        <v>52.2</v>
      </c>
      <c r="Q51" s="19">
        <v>86.6</v>
      </c>
      <c r="R51" s="19">
        <v>121</v>
      </c>
      <c r="S51" s="19">
        <v>5.18</v>
      </c>
      <c r="T51" s="19">
        <v>85.9</v>
      </c>
      <c r="U51" s="19">
        <v>76.8</v>
      </c>
      <c r="V51" s="19">
        <v>70.8</v>
      </c>
      <c r="W51" s="21" t="s">
        <v>114</v>
      </c>
      <c r="X51" s="23">
        <v>44939</v>
      </c>
      <c r="Y51" s="20">
        <v>36</v>
      </c>
      <c r="Z51" s="20">
        <v>3</v>
      </c>
      <c r="AA51" s="20">
        <v>34</v>
      </c>
      <c r="AB51" s="20">
        <v>59</v>
      </c>
      <c r="AC51" s="20">
        <v>1.68</v>
      </c>
      <c r="AD51" s="20">
        <f t="shared" si="4"/>
        <v>20.904195011337873</v>
      </c>
      <c r="AE51" s="20">
        <f t="shared" si="5"/>
        <v>6</v>
      </c>
      <c r="AF51" s="20" t="s">
        <v>289</v>
      </c>
      <c r="AG51" s="24">
        <v>44959</v>
      </c>
      <c r="AH51" s="25">
        <v>39</v>
      </c>
      <c r="AI51" s="25">
        <v>2</v>
      </c>
      <c r="AJ51" s="25" t="s">
        <v>291</v>
      </c>
      <c r="AK51" s="25">
        <v>3780</v>
      </c>
      <c r="AL51" s="20">
        <v>259</v>
      </c>
      <c r="AM51" s="20">
        <v>258</v>
      </c>
      <c r="AN51" s="20">
        <v>55</v>
      </c>
      <c r="AO51" s="20">
        <v>152</v>
      </c>
      <c r="AP51" s="20">
        <v>51</v>
      </c>
      <c r="AQ51" s="20">
        <f t="shared" si="6"/>
        <v>58.895705521472394</v>
      </c>
      <c r="AR51" s="26">
        <v>103.42</v>
      </c>
      <c r="AS51" s="26">
        <v>114.58</v>
      </c>
      <c r="AT51" s="5">
        <f>AS51/AR51</f>
        <v>1.1079094952620383</v>
      </c>
    </row>
    <row r="52" spans="1:47" ht="19" x14ac:dyDescent="0.25">
      <c r="A52" s="20">
        <v>64</v>
      </c>
      <c r="B52" s="21" t="s">
        <v>217</v>
      </c>
      <c r="C52" s="22" t="s">
        <v>218</v>
      </c>
      <c r="D52" s="19">
        <v>30</v>
      </c>
      <c r="E52" s="19">
        <v>11</v>
      </c>
      <c r="F52" s="19">
        <v>0</v>
      </c>
      <c r="G52" s="19">
        <v>77</v>
      </c>
      <c r="H52" s="19">
        <v>95</v>
      </c>
      <c r="I52" s="19">
        <v>170</v>
      </c>
      <c r="J52" s="19">
        <v>32.9</v>
      </c>
      <c r="K52" s="19">
        <v>102</v>
      </c>
      <c r="L52" s="19">
        <v>56</v>
      </c>
      <c r="M52" s="19">
        <v>35.5</v>
      </c>
      <c r="N52" s="19">
        <v>12.7</v>
      </c>
      <c r="O52" s="19">
        <v>172</v>
      </c>
      <c r="P52" s="19">
        <v>76.599999999999994</v>
      </c>
      <c r="Q52" s="19">
        <v>77.8</v>
      </c>
      <c r="R52" s="19">
        <v>88</v>
      </c>
      <c r="S52" s="19">
        <v>5.62</v>
      </c>
      <c r="T52" s="19">
        <v>77.599999999999994</v>
      </c>
      <c r="U52" s="19">
        <v>90</v>
      </c>
      <c r="V52" s="19">
        <v>92</v>
      </c>
      <c r="W52" s="21" t="s">
        <v>219</v>
      </c>
      <c r="X52" s="23">
        <v>44881</v>
      </c>
      <c r="Y52" s="20">
        <v>35</v>
      </c>
      <c r="Z52" s="20">
        <v>6</v>
      </c>
      <c r="AA52" s="20">
        <v>30</v>
      </c>
      <c r="AB52" s="20">
        <v>104</v>
      </c>
      <c r="AC52" s="20">
        <v>1.7</v>
      </c>
      <c r="AD52" s="20">
        <f t="shared" si="4"/>
        <v>35.986159169550177</v>
      </c>
      <c r="AE52" s="20">
        <f t="shared" si="5"/>
        <v>9</v>
      </c>
      <c r="AF52" s="20" t="s">
        <v>292</v>
      </c>
      <c r="AG52" s="24">
        <v>44902</v>
      </c>
      <c r="AH52" s="25">
        <v>39</v>
      </c>
      <c r="AI52" s="25">
        <v>0</v>
      </c>
      <c r="AJ52" s="25" t="s">
        <v>290</v>
      </c>
      <c r="AK52" s="25">
        <v>2270</v>
      </c>
      <c r="AL52" s="20">
        <v>257</v>
      </c>
      <c r="AM52" s="20">
        <v>291</v>
      </c>
      <c r="AN52" s="20">
        <v>65</v>
      </c>
      <c r="AO52" s="20">
        <v>133</v>
      </c>
      <c r="AP52" s="20">
        <v>58</v>
      </c>
      <c r="AQ52" s="20">
        <f t="shared" si="6"/>
        <v>49.418604651162781</v>
      </c>
      <c r="AR52" s="26">
        <v>134.07</v>
      </c>
      <c r="AS52" s="26">
        <v>111.13</v>
      </c>
      <c r="AT52" s="5">
        <f t="shared" si="3"/>
        <v>0.82889535317371521</v>
      </c>
      <c r="AU52" s="5">
        <v>0.49</v>
      </c>
    </row>
    <row r="53" spans="1:47" ht="19" x14ac:dyDescent="0.25">
      <c r="A53" s="20">
        <v>44</v>
      </c>
      <c r="B53" s="21" t="s">
        <v>157</v>
      </c>
      <c r="C53" s="22" t="s">
        <v>158</v>
      </c>
      <c r="D53" s="29">
        <v>31</v>
      </c>
      <c r="E53" s="29">
        <v>5</v>
      </c>
      <c r="F53" s="29">
        <v>0</v>
      </c>
      <c r="G53" s="29">
        <v>35</v>
      </c>
      <c r="H53" s="29">
        <v>59</v>
      </c>
      <c r="I53" s="29">
        <v>156</v>
      </c>
      <c r="J53" s="29">
        <v>24.2</v>
      </c>
      <c r="K53" s="29">
        <v>103</v>
      </c>
      <c r="L53" s="29">
        <v>62</v>
      </c>
      <c r="M53" s="29">
        <v>37</v>
      </c>
      <c r="N53" s="29">
        <v>12.7</v>
      </c>
      <c r="O53" s="29">
        <v>175</v>
      </c>
      <c r="P53" s="29">
        <v>71.099999999999994</v>
      </c>
      <c r="Q53" s="29">
        <v>92.5</v>
      </c>
      <c r="R53" s="29">
        <v>57</v>
      </c>
      <c r="S53" s="29">
        <v>2.2799999999999998</v>
      </c>
      <c r="T53" s="29">
        <v>74.3</v>
      </c>
      <c r="U53" s="32">
        <v>69.7</v>
      </c>
      <c r="V53" s="19">
        <v>115.1</v>
      </c>
      <c r="W53" s="21" t="s">
        <v>159</v>
      </c>
      <c r="X53" s="23">
        <v>44756</v>
      </c>
      <c r="Y53" s="20">
        <v>37</v>
      </c>
      <c r="Z53" s="20">
        <v>0</v>
      </c>
      <c r="AA53" s="20">
        <v>32</v>
      </c>
      <c r="AB53" s="20">
        <v>66.5</v>
      </c>
      <c r="AC53" s="20">
        <v>1.56</v>
      </c>
      <c r="AD53" s="20">
        <f t="shared" si="4"/>
        <v>27.325772518080207</v>
      </c>
      <c r="AE53" s="20">
        <f t="shared" si="5"/>
        <v>7.5</v>
      </c>
      <c r="AF53" s="20" t="s">
        <v>289</v>
      </c>
      <c r="AG53" s="24">
        <v>44767</v>
      </c>
      <c r="AH53" s="25">
        <v>38</v>
      </c>
      <c r="AI53" s="25">
        <v>4</v>
      </c>
      <c r="AJ53" s="25" t="s">
        <v>291</v>
      </c>
      <c r="AK53" s="25">
        <v>2570</v>
      </c>
      <c r="AL53" s="20">
        <v>253</v>
      </c>
      <c r="AM53" s="20">
        <v>217</v>
      </c>
      <c r="AN53" s="20">
        <v>87</v>
      </c>
      <c r="AO53" s="20">
        <v>122</v>
      </c>
      <c r="AP53" s="20">
        <v>43</v>
      </c>
      <c r="AQ53" s="20">
        <f t="shared" si="6"/>
        <v>44.571428571428584</v>
      </c>
      <c r="AR53" s="26">
        <v>101.35</v>
      </c>
      <c r="AS53" s="26">
        <v>72.150000000000006</v>
      </c>
      <c r="AT53" s="5">
        <f t="shared" si="3"/>
        <v>0.71188949185989159</v>
      </c>
      <c r="AU53" s="5">
        <v>1.1000000000000001</v>
      </c>
    </row>
    <row r="54" spans="1:47" ht="19" x14ac:dyDescent="0.25">
      <c r="A54" s="20">
        <v>68</v>
      </c>
      <c r="B54" s="21" t="s">
        <v>229</v>
      </c>
      <c r="C54" s="22" t="s">
        <v>230</v>
      </c>
      <c r="D54" s="19">
        <v>27</v>
      </c>
      <c r="E54" s="19">
        <v>7</v>
      </c>
      <c r="F54" s="19">
        <v>2</v>
      </c>
      <c r="G54" s="19">
        <v>51</v>
      </c>
      <c r="H54" s="19">
        <v>53</v>
      </c>
      <c r="I54" s="19">
        <v>153</v>
      </c>
      <c r="J54" s="19">
        <v>22.6</v>
      </c>
      <c r="K54" s="19">
        <v>91</v>
      </c>
      <c r="L54" s="19">
        <v>27</v>
      </c>
      <c r="M54" s="19">
        <v>35.5</v>
      </c>
      <c r="N54" s="19">
        <v>12</v>
      </c>
      <c r="O54" s="19">
        <v>209</v>
      </c>
      <c r="P54" s="19">
        <v>75</v>
      </c>
      <c r="Q54" s="19">
        <v>121.9</v>
      </c>
      <c r="R54" s="19">
        <v>60.4</v>
      </c>
      <c r="S54" s="19">
        <v>4.95</v>
      </c>
      <c r="T54" s="19">
        <v>77.8</v>
      </c>
      <c r="U54" s="19">
        <v>81.099999999999994</v>
      </c>
      <c r="V54" s="19">
        <v>82</v>
      </c>
      <c r="W54" s="21" t="s">
        <v>231</v>
      </c>
      <c r="X54" s="23">
        <v>45021</v>
      </c>
      <c r="Y54" s="20">
        <v>35</v>
      </c>
      <c r="Z54" s="20">
        <v>1</v>
      </c>
      <c r="AA54" s="20">
        <v>27</v>
      </c>
      <c r="AB54" s="20">
        <v>65</v>
      </c>
      <c r="AC54" s="20">
        <v>1.53</v>
      </c>
      <c r="AD54" s="20">
        <f t="shared" si="4"/>
        <v>27.767098124652911</v>
      </c>
      <c r="AE54" s="20">
        <f t="shared" si="5"/>
        <v>12</v>
      </c>
      <c r="AF54" s="20" t="s">
        <v>292</v>
      </c>
      <c r="AG54" s="27">
        <v>45034</v>
      </c>
      <c r="AH54" s="28">
        <v>37</v>
      </c>
      <c r="AI54" s="28">
        <v>0</v>
      </c>
      <c r="AJ54" s="28" t="s">
        <v>290</v>
      </c>
      <c r="AK54" s="28">
        <v>2945</v>
      </c>
      <c r="AL54" s="20">
        <v>253</v>
      </c>
      <c r="AM54" s="20">
        <v>161</v>
      </c>
      <c r="AN54" s="20">
        <v>55</v>
      </c>
      <c r="AO54" s="20">
        <v>166</v>
      </c>
      <c r="AP54" s="20">
        <v>31</v>
      </c>
      <c r="AQ54" s="20">
        <f t="shared" si="6"/>
        <v>21.05263157894737</v>
      </c>
      <c r="AR54" s="26">
        <v>119.06</v>
      </c>
      <c r="AS54" s="26">
        <v>95.15</v>
      </c>
      <c r="AT54" s="5">
        <f t="shared" si="3"/>
        <v>0.79917688560389721</v>
      </c>
      <c r="AU54" s="5">
        <v>0.92</v>
      </c>
    </row>
    <row r="55" spans="1:47" ht="19" x14ac:dyDescent="0.25">
      <c r="A55" s="20">
        <v>11</v>
      </c>
      <c r="B55" s="21" t="s">
        <v>58</v>
      </c>
      <c r="C55" s="22" t="s">
        <v>59</v>
      </c>
      <c r="D55" s="29">
        <v>36</v>
      </c>
      <c r="E55" s="29">
        <v>7</v>
      </c>
      <c r="F55" s="29">
        <v>5</v>
      </c>
      <c r="G55" s="29">
        <v>54</v>
      </c>
      <c r="H55" s="29">
        <v>57</v>
      </c>
      <c r="I55" s="29">
        <v>158</v>
      </c>
      <c r="J55" s="29">
        <v>21.7</v>
      </c>
      <c r="K55" s="29">
        <v>126</v>
      </c>
      <c r="L55" s="29">
        <v>83</v>
      </c>
      <c r="M55" s="29">
        <v>38.299999999999997</v>
      </c>
      <c r="N55" s="29">
        <v>14.2</v>
      </c>
      <c r="O55" s="29">
        <v>171</v>
      </c>
      <c r="P55" s="29">
        <v>45.1</v>
      </c>
      <c r="Q55" s="29">
        <v>107.1</v>
      </c>
      <c r="R55" s="29">
        <v>94</v>
      </c>
      <c r="S55" s="29">
        <v>5.96</v>
      </c>
      <c r="T55" s="29">
        <v>81.7</v>
      </c>
      <c r="U55" s="19"/>
      <c r="V55" s="19"/>
      <c r="W55" s="21" t="s">
        <v>60</v>
      </c>
      <c r="X55" s="23">
        <v>45014</v>
      </c>
      <c r="Y55" s="20">
        <v>35</v>
      </c>
      <c r="Z55" s="20">
        <v>0</v>
      </c>
      <c r="AA55" s="20">
        <v>37</v>
      </c>
      <c r="AB55" s="20">
        <v>66</v>
      </c>
      <c r="AC55" s="20">
        <v>1.58</v>
      </c>
      <c r="AD55" s="20">
        <f t="shared" si="4"/>
        <v>26.438070821983651</v>
      </c>
      <c r="AE55" s="20">
        <f t="shared" si="5"/>
        <v>9</v>
      </c>
      <c r="AF55" s="20" t="s">
        <v>289</v>
      </c>
      <c r="AG55" s="27">
        <v>45048</v>
      </c>
      <c r="AH55" s="28">
        <v>39</v>
      </c>
      <c r="AI55" s="28">
        <v>5</v>
      </c>
      <c r="AJ55" s="28" t="s">
        <v>291</v>
      </c>
      <c r="AK55" s="28">
        <v>3745</v>
      </c>
      <c r="AL55" s="20">
        <v>250</v>
      </c>
      <c r="AM55" s="20">
        <v>591</v>
      </c>
      <c r="AN55" s="20">
        <v>37</v>
      </c>
      <c r="AO55" s="20">
        <v>94</v>
      </c>
      <c r="AP55" s="20">
        <v>118</v>
      </c>
      <c r="AQ55" s="20">
        <f t="shared" si="6"/>
        <v>46.198830409356731</v>
      </c>
      <c r="AR55" s="26">
        <v>79.319999999999993</v>
      </c>
      <c r="AS55" s="26">
        <v>92.33</v>
      </c>
      <c r="AT55" s="5">
        <f t="shared" si="3"/>
        <v>1.1640191628845185</v>
      </c>
    </row>
    <row r="56" spans="1:47" ht="19" x14ac:dyDescent="0.25">
      <c r="A56" s="20">
        <v>75</v>
      </c>
      <c r="B56" s="21" t="s">
        <v>250</v>
      </c>
      <c r="C56" s="22" t="s">
        <v>251</v>
      </c>
      <c r="D56" s="29">
        <v>26</v>
      </c>
      <c r="E56" s="29">
        <v>8</v>
      </c>
      <c r="F56" s="29">
        <v>6</v>
      </c>
      <c r="G56" s="29">
        <v>62</v>
      </c>
      <c r="H56" s="29">
        <v>82</v>
      </c>
      <c r="I56" s="29">
        <v>176</v>
      </c>
      <c r="J56" s="29">
        <v>27.7</v>
      </c>
      <c r="K56" s="29">
        <v>100</v>
      </c>
      <c r="L56" s="29">
        <v>69</v>
      </c>
      <c r="M56" s="29">
        <v>39.799999999999997</v>
      </c>
      <c r="N56" s="29">
        <v>13.9</v>
      </c>
      <c r="O56" s="29">
        <v>184</v>
      </c>
      <c r="P56" s="29">
        <v>54.1</v>
      </c>
      <c r="Q56" s="29">
        <v>110.7</v>
      </c>
      <c r="R56" s="29">
        <v>96</v>
      </c>
      <c r="S56" s="29">
        <v>13.49</v>
      </c>
      <c r="T56" s="29">
        <v>84.7</v>
      </c>
      <c r="U56" s="19">
        <v>86.8</v>
      </c>
      <c r="V56" s="19">
        <v>92.2</v>
      </c>
      <c r="W56" s="21" t="s">
        <v>252</v>
      </c>
      <c r="X56" s="23">
        <v>44770</v>
      </c>
      <c r="Y56" s="20">
        <v>36</v>
      </c>
      <c r="Z56" s="20">
        <v>4</v>
      </c>
      <c r="AA56" s="20">
        <v>26</v>
      </c>
      <c r="AB56" s="20">
        <v>94</v>
      </c>
      <c r="AC56" s="20">
        <v>1.77</v>
      </c>
      <c r="AD56" s="20">
        <f t="shared" si="4"/>
        <v>30.004149510038619</v>
      </c>
      <c r="AE56" s="20">
        <f t="shared" si="5"/>
        <v>12</v>
      </c>
      <c r="AF56" s="20" t="s">
        <v>292</v>
      </c>
      <c r="AG56" s="24">
        <v>44787</v>
      </c>
      <c r="AH56" s="25">
        <v>39</v>
      </c>
      <c r="AI56" s="25">
        <v>0</v>
      </c>
      <c r="AJ56" s="25" t="s">
        <v>290</v>
      </c>
      <c r="AK56" s="25">
        <v>3840</v>
      </c>
      <c r="AL56" s="20">
        <v>250</v>
      </c>
      <c r="AM56" s="20">
        <v>302</v>
      </c>
      <c r="AN56" s="20">
        <v>59</v>
      </c>
      <c r="AO56" s="20">
        <v>225</v>
      </c>
      <c r="AP56" s="20">
        <v>60</v>
      </c>
      <c r="AQ56" s="20">
        <f t="shared" si="6"/>
        <v>35.869565217391312</v>
      </c>
      <c r="AR56" s="26"/>
      <c r="AS56" s="26"/>
      <c r="AU56" s="5">
        <v>1.57</v>
      </c>
    </row>
    <row r="57" spans="1:47" ht="19" x14ac:dyDescent="0.25">
      <c r="A57" s="20">
        <v>31</v>
      </c>
      <c r="B57" s="21" t="s">
        <v>118</v>
      </c>
      <c r="C57" s="22" t="s">
        <v>119</v>
      </c>
      <c r="D57" s="19">
        <v>33</v>
      </c>
      <c r="E57" s="19">
        <v>12</v>
      </c>
      <c r="F57" s="19">
        <v>2</v>
      </c>
      <c r="G57" s="19">
        <v>86</v>
      </c>
      <c r="H57" s="19">
        <v>67</v>
      </c>
      <c r="I57" s="19">
        <v>157</v>
      </c>
      <c r="J57" s="19">
        <v>27.2</v>
      </c>
      <c r="K57" s="19">
        <v>110</v>
      </c>
      <c r="L57" s="19">
        <v>67</v>
      </c>
      <c r="M57" s="19">
        <v>36.9</v>
      </c>
      <c r="N57" s="19">
        <v>13</v>
      </c>
      <c r="O57" s="19">
        <v>200</v>
      </c>
      <c r="P57" s="19">
        <v>70.7</v>
      </c>
      <c r="Q57" s="19">
        <v>115.1</v>
      </c>
      <c r="R57" s="19">
        <v>71</v>
      </c>
      <c r="S57" s="19">
        <v>5.49</v>
      </c>
      <c r="T57" s="19">
        <v>80.900000000000006</v>
      </c>
      <c r="U57" s="19">
        <v>72</v>
      </c>
      <c r="V57" s="19">
        <v>105</v>
      </c>
      <c r="W57" s="21" t="s">
        <v>120</v>
      </c>
      <c r="X57" s="23">
        <v>44861</v>
      </c>
      <c r="Y57" s="20">
        <v>36</v>
      </c>
      <c r="Z57" s="20">
        <v>3</v>
      </c>
      <c r="AA57" s="20">
        <v>34</v>
      </c>
      <c r="AB57" s="20">
        <v>82</v>
      </c>
      <c r="AC57" s="20">
        <v>1.57</v>
      </c>
      <c r="AD57" s="20">
        <f t="shared" si="4"/>
        <v>33.267069657998292</v>
      </c>
      <c r="AE57" s="20">
        <f t="shared" si="5"/>
        <v>15</v>
      </c>
      <c r="AF57" s="20" t="s">
        <v>289</v>
      </c>
      <c r="AG57" s="30">
        <v>44879</v>
      </c>
      <c r="AH57" s="25">
        <v>38</v>
      </c>
      <c r="AI57" s="25">
        <v>1</v>
      </c>
      <c r="AJ57" s="25" t="s">
        <v>291</v>
      </c>
      <c r="AK57" s="25">
        <v>3390</v>
      </c>
      <c r="AL57" s="20">
        <v>249</v>
      </c>
      <c r="AM57" s="20">
        <v>250</v>
      </c>
      <c r="AN57" s="20">
        <v>60</v>
      </c>
      <c r="AO57" s="20">
        <v>138</v>
      </c>
      <c r="AP57" s="20">
        <v>49</v>
      </c>
      <c r="AQ57" s="20">
        <f t="shared" si="6"/>
        <v>24.5</v>
      </c>
      <c r="AR57" s="26">
        <v>111.4</v>
      </c>
      <c r="AS57" s="26">
        <v>108.12</v>
      </c>
      <c r="AT57" s="5">
        <f t="shared" si="3"/>
        <v>0.97055655296229804</v>
      </c>
      <c r="AU57" s="5">
        <v>0.32</v>
      </c>
    </row>
    <row r="58" spans="1:47" ht="19" x14ac:dyDescent="0.25">
      <c r="A58" s="20">
        <v>77</v>
      </c>
      <c r="B58" s="21" t="s">
        <v>256</v>
      </c>
      <c r="C58" s="22" t="s">
        <v>257</v>
      </c>
      <c r="D58" s="19">
        <v>24</v>
      </c>
      <c r="E58" s="19">
        <v>8</v>
      </c>
      <c r="F58" s="19">
        <v>1</v>
      </c>
      <c r="G58" s="19">
        <v>57</v>
      </c>
      <c r="H58" s="19">
        <v>46</v>
      </c>
      <c r="I58" s="19">
        <v>160</v>
      </c>
      <c r="J58" s="19">
        <v>18</v>
      </c>
      <c r="K58" s="19">
        <v>114</v>
      </c>
      <c r="L58" s="19">
        <v>58</v>
      </c>
      <c r="M58" s="19">
        <v>33.799999999999997</v>
      </c>
      <c r="N58" s="19">
        <v>12.1</v>
      </c>
      <c r="O58" s="19">
        <v>153</v>
      </c>
      <c r="P58" s="19">
        <v>63.2</v>
      </c>
      <c r="Q58" s="19">
        <v>72</v>
      </c>
      <c r="R58" s="19">
        <v>89</v>
      </c>
      <c r="S58" s="19">
        <v>3.28</v>
      </c>
      <c r="T58" s="19">
        <v>80.599999999999994</v>
      </c>
      <c r="U58" s="19">
        <v>92</v>
      </c>
      <c r="V58" s="31">
        <v>122</v>
      </c>
      <c r="W58" s="21" t="s">
        <v>258</v>
      </c>
      <c r="X58" s="23">
        <v>44880</v>
      </c>
      <c r="Y58" s="20">
        <v>35</v>
      </c>
      <c r="Z58" s="20">
        <v>1</v>
      </c>
      <c r="AA58" s="20">
        <v>25</v>
      </c>
      <c r="AB58" s="20">
        <v>56.8</v>
      </c>
      <c r="AC58" s="20">
        <v>1.62</v>
      </c>
      <c r="AD58" s="20">
        <f t="shared" si="4"/>
        <v>21.6430422191739</v>
      </c>
      <c r="AE58" s="20">
        <f t="shared" si="5"/>
        <v>10.799999999999997</v>
      </c>
      <c r="AF58" s="20" t="s">
        <v>292</v>
      </c>
      <c r="AG58" s="30">
        <v>44917</v>
      </c>
      <c r="AH58" s="25">
        <v>40</v>
      </c>
      <c r="AI58" s="25">
        <v>3</v>
      </c>
      <c r="AJ58" s="25" t="s">
        <v>290</v>
      </c>
      <c r="AK58" s="25">
        <v>3425</v>
      </c>
      <c r="AL58" s="20">
        <v>244</v>
      </c>
      <c r="AM58" s="20">
        <v>281</v>
      </c>
      <c r="AN58" s="20">
        <v>72</v>
      </c>
      <c r="AO58" s="20">
        <v>116</v>
      </c>
      <c r="AP58" s="20">
        <v>56</v>
      </c>
      <c r="AQ58" s="20">
        <f t="shared" si="6"/>
        <v>59.477124183006538</v>
      </c>
      <c r="AR58" s="26">
        <v>101.35</v>
      </c>
      <c r="AS58" s="26">
        <v>95.58</v>
      </c>
      <c r="AT58" s="5">
        <f t="shared" si="3"/>
        <v>0.94306857424765667</v>
      </c>
      <c r="AU58" s="5">
        <v>1.83</v>
      </c>
    </row>
    <row r="59" spans="1:47" ht="19" x14ac:dyDescent="0.25">
      <c r="A59" s="20">
        <v>20</v>
      </c>
      <c r="B59" s="21" t="s">
        <v>85</v>
      </c>
      <c r="C59" s="22" t="s">
        <v>86</v>
      </c>
      <c r="D59" s="19">
        <v>34</v>
      </c>
      <c r="E59" s="19">
        <v>10</v>
      </c>
      <c r="F59" s="19">
        <v>5</v>
      </c>
      <c r="G59" s="19">
        <v>75</v>
      </c>
      <c r="H59" s="19">
        <v>60</v>
      </c>
      <c r="I59" s="19">
        <v>164</v>
      </c>
      <c r="J59" s="19">
        <v>22.3</v>
      </c>
      <c r="K59" s="19">
        <v>98</v>
      </c>
      <c r="L59" s="19">
        <v>60</v>
      </c>
      <c r="M59" s="19">
        <v>39.200000000000003</v>
      </c>
      <c r="N59" s="19">
        <v>13.7</v>
      </c>
      <c r="O59" s="19">
        <v>199</v>
      </c>
      <c r="P59" s="19">
        <v>64.900000000000006</v>
      </c>
      <c r="Q59" s="19">
        <v>119.3</v>
      </c>
      <c r="R59" s="19">
        <v>74</v>
      </c>
      <c r="S59" s="19">
        <v>3.69</v>
      </c>
      <c r="T59" s="19">
        <v>76.599999999999994</v>
      </c>
      <c r="U59" s="19">
        <v>77</v>
      </c>
      <c r="V59" s="19">
        <v>94</v>
      </c>
      <c r="W59" s="21" t="s">
        <v>87</v>
      </c>
      <c r="X59" s="23">
        <v>44860</v>
      </c>
      <c r="Y59" s="20">
        <v>34</v>
      </c>
      <c r="Z59" s="20">
        <v>3</v>
      </c>
      <c r="AA59" s="20">
        <v>35</v>
      </c>
      <c r="AB59" s="20">
        <v>69</v>
      </c>
      <c r="AC59" s="20">
        <v>1.63</v>
      </c>
      <c r="AD59" s="20">
        <f t="shared" si="4"/>
        <v>25.970115548195267</v>
      </c>
      <c r="AE59" s="20">
        <f t="shared" si="5"/>
        <v>9</v>
      </c>
      <c r="AF59" s="20" t="s">
        <v>289</v>
      </c>
      <c r="AG59" s="30">
        <v>44876</v>
      </c>
      <c r="AH59" s="25">
        <v>37</v>
      </c>
      <c r="AI59" s="25">
        <v>0</v>
      </c>
      <c r="AJ59" s="25" t="s">
        <v>290</v>
      </c>
      <c r="AK59" s="25">
        <v>2655</v>
      </c>
      <c r="AL59" s="20">
        <v>242</v>
      </c>
      <c r="AM59" s="20">
        <v>274</v>
      </c>
      <c r="AN59" s="20">
        <v>65</v>
      </c>
      <c r="AO59" s="20">
        <v>121</v>
      </c>
      <c r="AP59" s="20">
        <v>55</v>
      </c>
      <c r="AQ59" s="20">
        <f t="shared" si="6"/>
        <v>21.608040201005025</v>
      </c>
      <c r="AR59" s="26">
        <v>106.53</v>
      </c>
      <c r="AS59" s="26">
        <v>117.8</v>
      </c>
      <c r="AT59" s="5">
        <f t="shared" si="3"/>
        <v>1.1057917957382897</v>
      </c>
      <c r="AU59" s="5">
        <v>0.86</v>
      </c>
    </row>
    <row r="60" spans="1:47" ht="19" x14ac:dyDescent="0.25">
      <c r="A60" s="20">
        <v>24</v>
      </c>
      <c r="B60" s="21" t="s">
        <v>97</v>
      </c>
      <c r="C60" s="22" t="s">
        <v>98</v>
      </c>
      <c r="D60" s="19">
        <v>34</v>
      </c>
      <c r="E60" s="19">
        <v>10</v>
      </c>
      <c r="F60" s="19">
        <v>1</v>
      </c>
      <c r="G60" s="19">
        <v>71</v>
      </c>
      <c r="H60" s="19">
        <v>48</v>
      </c>
      <c r="I60" s="19">
        <v>160</v>
      </c>
      <c r="J60" s="19">
        <v>18.7</v>
      </c>
      <c r="K60" s="19">
        <v>97</v>
      </c>
      <c r="L60" s="19">
        <v>65</v>
      </c>
      <c r="M60" s="19">
        <v>38.6</v>
      </c>
      <c r="N60" s="19">
        <v>13.3</v>
      </c>
      <c r="O60" s="19">
        <v>147</v>
      </c>
      <c r="P60" s="19">
        <v>61.8</v>
      </c>
      <c r="Q60" s="19">
        <v>73.599999999999994</v>
      </c>
      <c r="R60" s="19">
        <v>57.8</v>
      </c>
      <c r="S60" s="19">
        <v>6.58</v>
      </c>
      <c r="T60" s="19">
        <v>85.4</v>
      </c>
      <c r="U60" s="19">
        <v>86.4</v>
      </c>
      <c r="V60" s="19">
        <v>120.9</v>
      </c>
      <c r="W60" s="21" t="s">
        <v>99</v>
      </c>
      <c r="X60" s="23">
        <v>45051</v>
      </c>
      <c r="Y60" s="20">
        <v>36</v>
      </c>
      <c r="Z60" s="20">
        <v>1</v>
      </c>
      <c r="AA60" s="20">
        <v>34</v>
      </c>
      <c r="AB60" s="20">
        <v>62.1</v>
      </c>
      <c r="AC60" s="20">
        <v>1.6</v>
      </c>
      <c r="AD60" s="20">
        <f t="shared" si="4"/>
        <v>24.257812499999996</v>
      </c>
      <c r="AE60" s="20">
        <f t="shared" si="5"/>
        <v>14.100000000000001</v>
      </c>
      <c r="AF60" s="20" t="s">
        <v>292</v>
      </c>
      <c r="AG60" s="25"/>
      <c r="AH60" s="28"/>
      <c r="AI60" s="28"/>
      <c r="AJ60" s="28"/>
      <c r="AK60" s="28"/>
      <c r="AL60" s="20">
        <v>241</v>
      </c>
      <c r="AM60" s="20">
        <v>144</v>
      </c>
      <c r="AN60" s="20">
        <v>99</v>
      </c>
      <c r="AO60" s="20">
        <v>113</v>
      </c>
      <c r="AP60" s="20">
        <v>28</v>
      </c>
      <c r="AQ60" s="20">
        <f t="shared" si="6"/>
        <v>63.945578231292529</v>
      </c>
      <c r="AR60" s="26">
        <v>73.67</v>
      </c>
      <c r="AS60" s="26">
        <v>52.55</v>
      </c>
      <c r="AT60" s="5">
        <f t="shared" si="3"/>
        <v>0.71331613954119721</v>
      </c>
      <c r="AU60" s="5">
        <v>0.04</v>
      </c>
    </row>
    <row r="61" spans="1:47" ht="19" x14ac:dyDescent="0.25">
      <c r="A61" s="20">
        <v>55</v>
      </c>
      <c r="B61" s="21" t="s">
        <v>190</v>
      </c>
      <c r="C61" s="22" t="s">
        <v>191</v>
      </c>
      <c r="D61" s="19">
        <v>31</v>
      </c>
      <c r="E61" s="19">
        <v>11</v>
      </c>
      <c r="F61" s="19">
        <v>1</v>
      </c>
      <c r="G61" s="19">
        <v>78</v>
      </c>
      <c r="H61" s="19">
        <v>61</v>
      </c>
      <c r="I61" s="19">
        <v>163</v>
      </c>
      <c r="J61" s="19">
        <v>23</v>
      </c>
      <c r="K61" s="19">
        <v>116</v>
      </c>
      <c r="L61" s="19">
        <v>70</v>
      </c>
      <c r="M61" s="19">
        <v>36.5</v>
      </c>
      <c r="N61" s="19">
        <v>12.9</v>
      </c>
      <c r="O61" s="19">
        <v>164</v>
      </c>
      <c r="P61" s="19">
        <v>78.3</v>
      </c>
      <c r="Q61" s="19">
        <v>67.5</v>
      </c>
      <c r="R61" s="19">
        <v>91</v>
      </c>
      <c r="S61" s="19">
        <v>4.16</v>
      </c>
      <c r="T61" s="19">
        <v>89.7</v>
      </c>
      <c r="U61" s="19">
        <v>88.8</v>
      </c>
      <c r="V61" s="19">
        <v>108.7</v>
      </c>
      <c r="W61" s="21" t="s">
        <v>192</v>
      </c>
      <c r="X61" s="23">
        <v>44860</v>
      </c>
      <c r="Y61" s="20">
        <v>35</v>
      </c>
      <c r="Z61" s="20">
        <v>1</v>
      </c>
      <c r="AA61" s="20">
        <v>32</v>
      </c>
      <c r="AB61" s="20">
        <v>72</v>
      </c>
      <c r="AC61" s="20">
        <v>1.64</v>
      </c>
      <c r="AD61" s="20">
        <f t="shared" si="4"/>
        <v>26.769779892920884</v>
      </c>
      <c r="AE61" s="20">
        <f t="shared" si="5"/>
        <v>11</v>
      </c>
      <c r="AF61" s="20" t="s">
        <v>289</v>
      </c>
      <c r="AG61" s="24">
        <v>44873</v>
      </c>
      <c r="AH61" s="25">
        <v>37</v>
      </c>
      <c r="AI61" s="25">
        <v>2</v>
      </c>
      <c r="AJ61" s="25" t="s">
        <v>290</v>
      </c>
      <c r="AK61" s="25">
        <v>3085</v>
      </c>
      <c r="AL61" s="20">
        <v>240</v>
      </c>
      <c r="AM61" s="20">
        <v>199</v>
      </c>
      <c r="AN61" s="20">
        <v>65</v>
      </c>
      <c r="AO61" s="20">
        <v>135</v>
      </c>
      <c r="AP61" s="20">
        <v>40</v>
      </c>
      <c r="AQ61" s="20">
        <f t="shared" si="6"/>
        <v>46.341463414634148</v>
      </c>
      <c r="AR61" s="26">
        <v>116.12</v>
      </c>
      <c r="AS61" s="26">
        <v>74.81</v>
      </c>
      <c r="AT61" s="5">
        <f t="shared" si="3"/>
        <v>0.64424733034791593</v>
      </c>
      <c r="AU61" s="5">
        <v>1.18</v>
      </c>
    </row>
    <row r="62" spans="1:47" ht="19" x14ac:dyDescent="0.25">
      <c r="A62" s="20">
        <v>26</v>
      </c>
      <c r="B62" s="21" t="s">
        <v>103</v>
      </c>
      <c r="C62" s="22" t="s">
        <v>104</v>
      </c>
      <c r="D62" s="19">
        <v>34</v>
      </c>
      <c r="E62" s="19">
        <v>9</v>
      </c>
      <c r="F62" s="19">
        <v>2</v>
      </c>
      <c r="G62" s="19">
        <v>65</v>
      </c>
      <c r="H62" s="19">
        <v>55</v>
      </c>
      <c r="I62" s="19">
        <v>165</v>
      </c>
      <c r="J62" s="19">
        <v>20.2</v>
      </c>
      <c r="K62" s="19">
        <v>100</v>
      </c>
      <c r="L62" s="19">
        <v>70</v>
      </c>
      <c r="M62" s="19">
        <v>39.9</v>
      </c>
      <c r="N62" s="19">
        <v>13.5</v>
      </c>
      <c r="O62" s="19">
        <v>146</v>
      </c>
      <c r="P62" s="19">
        <v>49</v>
      </c>
      <c r="Q62" s="19">
        <v>82.8</v>
      </c>
      <c r="R62" s="19">
        <v>71</v>
      </c>
      <c r="S62" s="19">
        <v>2.5499999999999998</v>
      </c>
      <c r="T62" s="19">
        <v>76.3</v>
      </c>
      <c r="U62" s="19">
        <v>85</v>
      </c>
      <c r="V62" s="31">
        <v>158</v>
      </c>
      <c r="W62" s="21" t="s">
        <v>105</v>
      </c>
      <c r="X62" s="23">
        <v>45049</v>
      </c>
      <c r="Y62" s="20">
        <v>35</v>
      </c>
      <c r="Z62" s="20">
        <v>1</v>
      </c>
      <c r="AA62" s="20">
        <v>34</v>
      </c>
      <c r="AB62" s="20">
        <v>65</v>
      </c>
      <c r="AC62" s="20">
        <v>1.64</v>
      </c>
      <c r="AD62" s="20">
        <f t="shared" si="4"/>
        <v>24.167162403331353</v>
      </c>
      <c r="AE62" s="20">
        <f t="shared" si="5"/>
        <v>10</v>
      </c>
      <c r="AF62" s="20" t="s">
        <v>289</v>
      </c>
      <c r="AG62" s="25"/>
      <c r="AH62" s="28"/>
      <c r="AI62" s="28"/>
      <c r="AJ62" s="28"/>
      <c r="AK62" s="28"/>
      <c r="AL62" s="20">
        <v>240</v>
      </c>
      <c r="AM62" s="20">
        <v>153</v>
      </c>
      <c r="AN62" s="20">
        <v>65</v>
      </c>
      <c r="AO62" s="20">
        <v>143</v>
      </c>
      <c r="AP62" s="20">
        <v>30</v>
      </c>
      <c r="AQ62" s="20">
        <f t="shared" si="6"/>
        <v>64.383561643835606</v>
      </c>
      <c r="AR62" s="26">
        <v>55.05</v>
      </c>
      <c r="AS62" s="26">
        <v>64.790000000000006</v>
      </c>
      <c r="AT62" s="5">
        <f t="shared" si="3"/>
        <v>1.1769300635785651</v>
      </c>
    </row>
    <row r="63" spans="1:47" ht="19" x14ac:dyDescent="0.25">
      <c r="A63" s="20">
        <v>74</v>
      </c>
      <c r="B63" s="21" t="s">
        <v>247</v>
      </c>
      <c r="C63" s="22" t="s">
        <v>248</v>
      </c>
      <c r="D63" s="19">
        <v>27</v>
      </c>
      <c r="E63" s="19">
        <v>8</v>
      </c>
      <c r="F63" s="19">
        <v>5</v>
      </c>
      <c r="G63" s="19">
        <v>61</v>
      </c>
      <c r="H63" s="19">
        <v>65</v>
      </c>
      <c r="I63" s="19">
        <v>161</v>
      </c>
      <c r="J63" s="19">
        <v>25.1</v>
      </c>
      <c r="K63" s="19">
        <v>101</v>
      </c>
      <c r="L63" s="19">
        <v>66</v>
      </c>
      <c r="M63" s="19">
        <v>41.1</v>
      </c>
      <c r="N63" s="19">
        <v>14.5</v>
      </c>
      <c r="O63" s="19">
        <v>203</v>
      </c>
      <c r="P63" s="19">
        <v>58.6</v>
      </c>
      <c r="Q63" s="19">
        <v>135</v>
      </c>
      <c r="R63" s="19">
        <v>47</v>
      </c>
      <c r="S63" s="19">
        <v>7.03</v>
      </c>
      <c r="T63" s="19">
        <v>98</v>
      </c>
      <c r="U63" s="19">
        <v>81.8</v>
      </c>
      <c r="V63" s="19">
        <v>73.2</v>
      </c>
      <c r="W63" s="21" t="s">
        <v>249</v>
      </c>
      <c r="X63" s="23">
        <v>44915</v>
      </c>
      <c r="Y63" s="20">
        <v>35</v>
      </c>
      <c r="Z63" s="20">
        <v>0</v>
      </c>
      <c r="AA63" s="20">
        <v>27</v>
      </c>
      <c r="AB63" s="20">
        <v>76</v>
      </c>
      <c r="AC63" s="20">
        <v>1.59</v>
      </c>
      <c r="AD63" s="20">
        <f t="shared" si="4"/>
        <v>30.062101973814325</v>
      </c>
      <c r="AE63" s="20">
        <f t="shared" si="5"/>
        <v>11</v>
      </c>
      <c r="AF63" s="20" t="s">
        <v>292</v>
      </c>
      <c r="AG63" s="24">
        <v>44953</v>
      </c>
      <c r="AH63" s="25">
        <v>40</v>
      </c>
      <c r="AI63" s="25">
        <v>2</v>
      </c>
      <c r="AJ63" s="25" t="s">
        <v>290</v>
      </c>
      <c r="AK63" s="25">
        <v>3675</v>
      </c>
      <c r="AL63" s="20">
        <v>239</v>
      </c>
      <c r="AM63" s="20">
        <v>385</v>
      </c>
      <c r="AN63" s="20">
        <v>50</v>
      </c>
      <c r="AO63" s="20">
        <v>112</v>
      </c>
      <c r="AP63" s="20">
        <v>77</v>
      </c>
      <c r="AQ63" s="20">
        <f t="shared" si="6"/>
        <v>17.733990147783246</v>
      </c>
      <c r="AR63" s="26">
        <v>78.11</v>
      </c>
      <c r="AS63" s="26">
        <v>73.260000000000005</v>
      </c>
      <c r="AT63" s="5">
        <f t="shared" si="3"/>
        <v>0.93790807835104351</v>
      </c>
      <c r="AU63" s="5">
        <v>0.53</v>
      </c>
    </row>
    <row r="64" spans="1:47" ht="19" x14ac:dyDescent="0.25">
      <c r="A64" s="20">
        <v>69</v>
      </c>
      <c r="B64" s="21" t="s">
        <v>232</v>
      </c>
      <c r="C64" s="22" t="s">
        <v>233</v>
      </c>
      <c r="D64" s="19">
        <v>28</v>
      </c>
      <c r="E64" s="19">
        <v>10</v>
      </c>
      <c r="F64" s="19">
        <v>1</v>
      </c>
      <c r="G64" s="19">
        <v>71</v>
      </c>
      <c r="H64" s="19">
        <v>67</v>
      </c>
      <c r="I64" s="19">
        <v>165</v>
      </c>
      <c r="J64" s="19">
        <v>24.6</v>
      </c>
      <c r="K64" s="19">
        <v>105</v>
      </c>
      <c r="L64" s="19">
        <v>58</v>
      </c>
      <c r="M64" s="19">
        <v>39.200000000000003</v>
      </c>
      <c r="N64" s="19">
        <v>14.1</v>
      </c>
      <c r="O64" s="19">
        <v>152</v>
      </c>
      <c r="P64" s="19">
        <v>50.9</v>
      </c>
      <c r="Q64" s="19">
        <v>87.5</v>
      </c>
      <c r="R64" s="19">
        <v>68</v>
      </c>
      <c r="S64" s="19">
        <v>3.84</v>
      </c>
      <c r="T64" s="19">
        <v>81.400000000000006</v>
      </c>
      <c r="U64" s="19">
        <v>87</v>
      </c>
      <c r="V64" s="19">
        <v>75</v>
      </c>
      <c r="W64" s="21" t="s">
        <v>234</v>
      </c>
      <c r="X64" s="23">
        <v>44917</v>
      </c>
      <c r="Y64" s="20">
        <v>35</v>
      </c>
      <c r="Z64" s="20">
        <v>6</v>
      </c>
      <c r="AA64" s="20">
        <v>29</v>
      </c>
      <c r="AB64" s="20">
        <v>79</v>
      </c>
      <c r="AC64" s="20">
        <v>1.65</v>
      </c>
      <c r="AD64" s="20">
        <f t="shared" si="4"/>
        <v>29.017447199265384</v>
      </c>
      <c r="AE64" s="20">
        <f t="shared" si="5"/>
        <v>12</v>
      </c>
      <c r="AF64" s="20" t="s">
        <v>292</v>
      </c>
      <c r="AG64" s="24">
        <v>44935</v>
      </c>
      <c r="AH64" s="25">
        <v>38</v>
      </c>
      <c r="AI64" s="25">
        <v>0</v>
      </c>
      <c r="AJ64" s="25" t="s">
        <v>291</v>
      </c>
      <c r="AK64" s="25">
        <v>2585</v>
      </c>
      <c r="AL64" s="20">
        <v>239</v>
      </c>
      <c r="AM64" s="20">
        <v>145</v>
      </c>
      <c r="AN64" s="20">
        <v>65</v>
      </c>
      <c r="AO64" s="20">
        <v>145</v>
      </c>
      <c r="AP64" s="20">
        <v>28</v>
      </c>
      <c r="AQ64" s="20">
        <f t="shared" si="6"/>
        <v>57.23684210526315</v>
      </c>
      <c r="AR64" s="26">
        <v>82.89</v>
      </c>
      <c r="AS64" s="26">
        <v>91.24</v>
      </c>
      <c r="AT64" s="5">
        <f t="shared" si="3"/>
        <v>1.1007359150681626</v>
      </c>
    </row>
    <row r="65" spans="1:47" ht="19" x14ac:dyDescent="0.25">
      <c r="A65" s="20">
        <v>71</v>
      </c>
      <c r="B65" s="21" t="s">
        <v>238</v>
      </c>
      <c r="C65" s="22" t="s">
        <v>239</v>
      </c>
      <c r="D65" s="19">
        <v>28</v>
      </c>
      <c r="E65" s="19">
        <v>8</v>
      </c>
      <c r="F65" s="19">
        <v>1</v>
      </c>
      <c r="G65" s="19">
        <v>57</v>
      </c>
      <c r="H65" s="19">
        <v>50</v>
      </c>
      <c r="I65" s="19">
        <v>157</v>
      </c>
      <c r="J65" s="19">
        <v>20.3</v>
      </c>
      <c r="K65" s="19">
        <v>101</v>
      </c>
      <c r="L65" s="19">
        <v>48</v>
      </c>
      <c r="M65" s="19">
        <v>37.1</v>
      </c>
      <c r="N65" s="19">
        <v>13</v>
      </c>
      <c r="O65" s="19">
        <v>165</v>
      </c>
      <c r="P65" s="19">
        <v>49.6</v>
      </c>
      <c r="Q65" s="19">
        <v>99</v>
      </c>
      <c r="R65" s="19">
        <v>82</v>
      </c>
      <c r="S65" s="19">
        <v>3.9</v>
      </c>
      <c r="T65" s="19">
        <v>79.8</v>
      </c>
      <c r="U65" s="19">
        <v>87</v>
      </c>
      <c r="V65" s="31">
        <v>143</v>
      </c>
      <c r="W65" s="21" t="s">
        <v>240</v>
      </c>
      <c r="X65" s="23">
        <v>44952</v>
      </c>
      <c r="Y65" s="20">
        <v>36</v>
      </c>
      <c r="Z65" s="20">
        <v>3</v>
      </c>
      <c r="AA65" s="20">
        <v>28</v>
      </c>
      <c r="AB65" s="20">
        <v>62</v>
      </c>
      <c r="AC65" s="20">
        <v>1.57</v>
      </c>
      <c r="AD65" s="20">
        <f t="shared" si="4"/>
        <v>25.153150229218223</v>
      </c>
      <c r="AE65" s="20">
        <f t="shared" si="5"/>
        <v>12</v>
      </c>
      <c r="AF65" s="20" t="s">
        <v>292</v>
      </c>
      <c r="AG65" s="24">
        <v>44980</v>
      </c>
      <c r="AH65" s="25">
        <v>40</v>
      </c>
      <c r="AI65" s="25">
        <v>3</v>
      </c>
      <c r="AJ65" s="25" t="s">
        <v>291</v>
      </c>
      <c r="AK65" s="25">
        <v>3605</v>
      </c>
      <c r="AL65" s="20">
        <v>237</v>
      </c>
      <c r="AM65" s="20">
        <v>241</v>
      </c>
      <c r="AN65" s="20">
        <v>50</v>
      </c>
      <c r="AO65" s="20">
        <v>136</v>
      </c>
      <c r="AP65" s="20">
        <v>48</v>
      </c>
      <c r="AQ65" s="20">
        <f t="shared" si="6"/>
        <v>43.636363636363626</v>
      </c>
      <c r="AR65" s="26">
        <v>111.7</v>
      </c>
      <c r="AS65" s="26">
        <v>102.08</v>
      </c>
      <c r="AT65" s="5">
        <f t="shared" si="3"/>
        <v>0.91387645478961499</v>
      </c>
      <c r="AU65" s="5">
        <v>0.68</v>
      </c>
    </row>
    <row r="66" spans="1:47" ht="19" x14ac:dyDescent="0.25">
      <c r="A66" s="20">
        <v>30</v>
      </c>
      <c r="B66" s="21" t="s">
        <v>115</v>
      </c>
      <c r="C66" s="22" t="s">
        <v>116</v>
      </c>
      <c r="D66" s="19">
        <v>34</v>
      </c>
      <c r="E66" s="19">
        <v>5</v>
      </c>
      <c r="F66" s="19">
        <v>5</v>
      </c>
      <c r="G66" s="19">
        <v>40</v>
      </c>
      <c r="H66" s="19">
        <v>53</v>
      </c>
      <c r="I66" s="19">
        <v>152</v>
      </c>
      <c r="J66" s="19">
        <v>22.9</v>
      </c>
      <c r="K66" s="19">
        <v>104</v>
      </c>
      <c r="L66" s="19">
        <v>64</v>
      </c>
      <c r="M66" s="19">
        <v>37.200000000000003</v>
      </c>
      <c r="N66" s="19">
        <v>12.8</v>
      </c>
      <c r="O66" s="19">
        <v>164</v>
      </c>
      <c r="P66" s="19">
        <v>58.2</v>
      </c>
      <c r="Q66" s="19">
        <v>90.3</v>
      </c>
      <c r="R66" s="19">
        <v>77.3</v>
      </c>
      <c r="S66" s="19">
        <v>6</v>
      </c>
      <c r="T66" s="19">
        <v>82.5</v>
      </c>
      <c r="U66" s="19">
        <v>85.7</v>
      </c>
      <c r="V66" s="19">
        <v>108.3</v>
      </c>
      <c r="W66" s="21" t="s">
        <v>117</v>
      </c>
      <c r="X66" s="23">
        <v>44992</v>
      </c>
      <c r="Y66" s="20">
        <v>37</v>
      </c>
      <c r="Z66" s="20">
        <v>2</v>
      </c>
      <c r="AA66" s="20">
        <v>35</v>
      </c>
      <c r="AB66" s="20">
        <v>65</v>
      </c>
      <c r="AC66" s="20">
        <v>1.52</v>
      </c>
      <c r="AD66" s="20">
        <f t="shared" ref="AD66:AD84" si="7">((AB66/(AC66*AC66)))</f>
        <v>28.133656509695292</v>
      </c>
      <c r="AE66" s="20">
        <f t="shared" ref="AE66:AE84" si="8">AB66-H66</f>
        <v>12</v>
      </c>
      <c r="AF66" s="20" t="s">
        <v>292</v>
      </c>
      <c r="AG66" s="27">
        <v>45012</v>
      </c>
      <c r="AH66" s="28">
        <v>40</v>
      </c>
      <c r="AI66" s="28">
        <v>1</v>
      </c>
      <c r="AJ66" s="28" t="s">
        <v>290</v>
      </c>
      <c r="AK66" s="28">
        <v>3125</v>
      </c>
      <c r="AL66" s="20">
        <v>236</v>
      </c>
      <c r="AM66" s="20">
        <v>254</v>
      </c>
      <c r="AN66" s="20">
        <v>75</v>
      </c>
      <c r="AO66" s="20">
        <v>110</v>
      </c>
      <c r="AP66" s="20">
        <v>50</v>
      </c>
      <c r="AQ66" s="20">
        <f t="shared" ref="AQ66:AQ84" si="9">((100*AL66)/O66)-100</f>
        <v>43.902439024390247</v>
      </c>
      <c r="AR66" s="26">
        <v>86.28</v>
      </c>
      <c r="AS66" s="26">
        <v>92.98</v>
      </c>
      <c r="AT66" s="5">
        <f t="shared" si="3"/>
        <v>1.0776541492814093</v>
      </c>
    </row>
    <row r="67" spans="1:47" ht="19" x14ac:dyDescent="0.25">
      <c r="A67" s="20">
        <v>2</v>
      </c>
      <c r="B67" s="21" t="s">
        <v>31</v>
      </c>
      <c r="C67" s="22" t="s">
        <v>32</v>
      </c>
      <c r="D67" s="19">
        <v>38</v>
      </c>
      <c r="E67" s="19">
        <v>9</v>
      </c>
      <c r="F67" s="19">
        <v>2</v>
      </c>
      <c r="G67" s="19">
        <v>65</v>
      </c>
      <c r="H67" s="19">
        <v>61</v>
      </c>
      <c r="I67" s="19">
        <v>167</v>
      </c>
      <c r="J67" s="19">
        <v>21.8</v>
      </c>
      <c r="K67" s="19">
        <v>112</v>
      </c>
      <c r="L67" s="19">
        <v>68</v>
      </c>
      <c r="M67" s="19">
        <v>36.799999999999997</v>
      </c>
      <c r="N67" s="19">
        <v>12.9</v>
      </c>
      <c r="O67" s="19">
        <v>165</v>
      </c>
      <c r="P67" s="19">
        <v>58.6</v>
      </c>
      <c r="Q67" s="19">
        <v>93.2</v>
      </c>
      <c r="R67" s="19">
        <v>66</v>
      </c>
      <c r="S67" s="19">
        <v>6.16</v>
      </c>
      <c r="T67" s="19">
        <v>85.9</v>
      </c>
      <c r="U67" s="19"/>
      <c r="V67" s="19"/>
      <c r="W67" s="21" t="s">
        <v>33</v>
      </c>
      <c r="X67" s="23">
        <v>44929</v>
      </c>
      <c r="Y67" s="20">
        <v>36</v>
      </c>
      <c r="Z67" s="20">
        <v>0</v>
      </c>
      <c r="AA67" s="20">
        <v>38</v>
      </c>
      <c r="AB67" s="20">
        <v>76</v>
      </c>
      <c r="AC67" s="20">
        <v>1.67</v>
      </c>
      <c r="AD67" s="20">
        <f t="shared" si="7"/>
        <v>27.250887446663558</v>
      </c>
      <c r="AE67" s="20">
        <f t="shared" si="8"/>
        <v>15</v>
      </c>
      <c r="AF67" s="20" t="s">
        <v>289</v>
      </c>
      <c r="AG67" s="24">
        <v>44949</v>
      </c>
      <c r="AH67" s="25">
        <v>38</v>
      </c>
      <c r="AI67" s="25">
        <v>6</v>
      </c>
      <c r="AJ67" s="25" t="s">
        <v>290</v>
      </c>
      <c r="AK67" s="25">
        <v>3110</v>
      </c>
      <c r="AL67" s="20">
        <v>235</v>
      </c>
      <c r="AM67" s="20">
        <v>205</v>
      </c>
      <c r="AN67" s="20">
        <v>61</v>
      </c>
      <c r="AO67" s="20">
        <v>132</v>
      </c>
      <c r="AP67" s="20">
        <v>41</v>
      </c>
      <c r="AQ67" s="20">
        <f t="shared" si="9"/>
        <v>42.424242424242436</v>
      </c>
      <c r="AR67" s="26">
        <v>105.64</v>
      </c>
      <c r="AS67" s="26">
        <v>87.32</v>
      </c>
      <c r="AT67" s="5">
        <f t="shared" ref="AT67:AT84" si="10">AS67/AR67</f>
        <v>0.82658084059068526</v>
      </c>
      <c r="AU67" s="5">
        <v>1.1000000000000001</v>
      </c>
    </row>
    <row r="68" spans="1:47" ht="19" x14ac:dyDescent="0.25">
      <c r="A68" s="20">
        <v>41</v>
      </c>
      <c r="B68" s="21" t="s">
        <v>148</v>
      </c>
      <c r="C68" s="22" t="s">
        <v>149</v>
      </c>
      <c r="D68" s="19">
        <v>33</v>
      </c>
      <c r="E68" s="19">
        <v>10</v>
      </c>
      <c r="F68" s="19">
        <v>0</v>
      </c>
      <c r="G68" s="19">
        <v>70</v>
      </c>
      <c r="H68" s="19">
        <v>53</v>
      </c>
      <c r="I68" s="19">
        <v>163</v>
      </c>
      <c r="J68" s="19">
        <v>19.899999999999999</v>
      </c>
      <c r="K68" s="19">
        <v>116</v>
      </c>
      <c r="L68" s="19">
        <v>49</v>
      </c>
      <c r="M68" s="19">
        <v>36.299999999999997</v>
      </c>
      <c r="N68" s="19">
        <v>6.18</v>
      </c>
      <c r="O68" s="19">
        <v>173</v>
      </c>
      <c r="P68" s="19">
        <v>62.4</v>
      </c>
      <c r="Q68" s="19">
        <v>97.4</v>
      </c>
      <c r="R68" s="19">
        <v>66</v>
      </c>
      <c r="S68" s="19">
        <v>12.6</v>
      </c>
      <c r="T68" s="19">
        <v>89</v>
      </c>
      <c r="U68" s="19">
        <v>90</v>
      </c>
      <c r="V68" s="31">
        <v>67.8</v>
      </c>
      <c r="W68" s="21" t="s">
        <v>150</v>
      </c>
      <c r="X68" s="23">
        <v>44797</v>
      </c>
      <c r="Y68" s="20">
        <v>35</v>
      </c>
      <c r="Z68" s="20">
        <v>0</v>
      </c>
      <c r="AA68" s="20">
        <v>33</v>
      </c>
      <c r="AB68" s="20">
        <v>62</v>
      </c>
      <c r="AC68" s="20">
        <v>1.53</v>
      </c>
      <c r="AD68" s="20">
        <f t="shared" si="7"/>
        <v>26.485539749668931</v>
      </c>
      <c r="AE68" s="20">
        <f t="shared" si="8"/>
        <v>9</v>
      </c>
      <c r="AF68" s="20" t="s">
        <v>289</v>
      </c>
      <c r="AG68" s="24">
        <v>44831</v>
      </c>
      <c r="AH68" s="25">
        <v>39</v>
      </c>
      <c r="AI68" s="25">
        <v>6</v>
      </c>
      <c r="AJ68" s="25" t="s">
        <v>291</v>
      </c>
      <c r="AK68" s="25">
        <v>3560</v>
      </c>
      <c r="AL68" s="20">
        <v>234</v>
      </c>
      <c r="AM68" s="20">
        <v>185</v>
      </c>
      <c r="AN68" s="20">
        <v>59</v>
      </c>
      <c r="AO68" s="20">
        <v>135</v>
      </c>
      <c r="AP68" s="20">
        <v>37</v>
      </c>
      <c r="AQ68" s="20">
        <f t="shared" si="9"/>
        <v>35.260115606936409</v>
      </c>
      <c r="AR68" s="26">
        <v>105.94</v>
      </c>
      <c r="AS68" s="26">
        <v>79.650000000000006</v>
      </c>
      <c r="AT68" s="5">
        <f t="shared" si="10"/>
        <v>0.75184066452709086</v>
      </c>
      <c r="AU68" s="5">
        <v>1.27</v>
      </c>
    </row>
    <row r="69" spans="1:47" ht="19" x14ac:dyDescent="0.25">
      <c r="A69" s="20">
        <v>65</v>
      </c>
      <c r="B69" s="21" t="s">
        <v>220</v>
      </c>
      <c r="C69" s="22" t="s">
        <v>221</v>
      </c>
      <c r="D69" s="19">
        <v>29</v>
      </c>
      <c r="E69" s="19">
        <v>8</v>
      </c>
      <c r="F69" s="19">
        <v>2</v>
      </c>
      <c r="G69" s="19">
        <v>58</v>
      </c>
      <c r="H69" s="19">
        <v>53</v>
      </c>
      <c r="I69" s="19">
        <v>164</v>
      </c>
      <c r="J69" s="19">
        <v>19.7</v>
      </c>
      <c r="K69" s="19">
        <v>116</v>
      </c>
      <c r="L69" s="19">
        <v>57</v>
      </c>
      <c r="M69" s="19">
        <v>34.6</v>
      </c>
      <c r="N69" s="19">
        <v>12.2</v>
      </c>
      <c r="O69" s="19">
        <v>164</v>
      </c>
      <c r="P69" s="19">
        <v>56.6</v>
      </c>
      <c r="Q69" s="19">
        <v>86.2</v>
      </c>
      <c r="R69" s="19">
        <v>106</v>
      </c>
      <c r="S69" s="19">
        <v>3.02</v>
      </c>
      <c r="T69" s="19">
        <v>76.400000000000006</v>
      </c>
      <c r="U69" s="19">
        <v>85</v>
      </c>
      <c r="V69" s="19">
        <v>78</v>
      </c>
      <c r="W69" s="21" t="s">
        <v>222</v>
      </c>
      <c r="X69" s="23">
        <v>44959</v>
      </c>
      <c r="Y69" s="20">
        <v>37</v>
      </c>
      <c r="Z69" s="20">
        <v>4</v>
      </c>
      <c r="AA69" s="20">
        <v>30</v>
      </c>
      <c r="AB69" s="20">
        <v>68</v>
      </c>
      <c r="AC69" s="20">
        <v>1.64</v>
      </c>
      <c r="AD69" s="20">
        <f t="shared" si="7"/>
        <v>25.282569898869724</v>
      </c>
      <c r="AE69" s="20">
        <f t="shared" si="8"/>
        <v>15</v>
      </c>
      <c r="AF69" s="20" t="s">
        <v>292</v>
      </c>
      <c r="AG69" s="24">
        <v>45008</v>
      </c>
      <c r="AH69" s="28">
        <v>40</v>
      </c>
      <c r="AI69" s="28">
        <v>3</v>
      </c>
      <c r="AJ69" s="28" t="s">
        <v>291</v>
      </c>
      <c r="AK69" s="28">
        <v>3215</v>
      </c>
      <c r="AL69" s="20">
        <v>232</v>
      </c>
      <c r="AM69" s="20">
        <v>346</v>
      </c>
      <c r="AN69" s="20">
        <v>62</v>
      </c>
      <c r="AO69" s="20">
        <v>100</v>
      </c>
      <c r="AP69" s="20">
        <v>68</v>
      </c>
      <c r="AQ69" s="20">
        <f t="shared" si="9"/>
        <v>41.463414634146346</v>
      </c>
      <c r="AR69" s="26">
        <v>107.56</v>
      </c>
      <c r="AS69" s="26">
        <v>87.32</v>
      </c>
      <c r="AT69" s="5">
        <f t="shared" si="10"/>
        <v>0.8118259576050576</v>
      </c>
      <c r="AU69" s="5">
        <v>0.2</v>
      </c>
    </row>
    <row r="70" spans="1:47" ht="19" x14ac:dyDescent="0.25">
      <c r="A70" s="20">
        <v>83</v>
      </c>
      <c r="B70" s="21" t="s">
        <v>274</v>
      </c>
      <c r="C70" s="22" t="s">
        <v>275</v>
      </c>
      <c r="D70" s="19">
        <v>28</v>
      </c>
      <c r="E70" s="19">
        <v>9</v>
      </c>
      <c r="F70" s="19">
        <v>4</v>
      </c>
      <c r="G70" s="19">
        <v>67</v>
      </c>
      <c r="H70" s="19">
        <v>58</v>
      </c>
      <c r="I70" s="19">
        <v>163</v>
      </c>
      <c r="J70" s="19">
        <v>21.8</v>
      </c>
      <c r="K70" s="19">
        <v>98</v>
      </c>
      <c r="L70" s="19">
        <v>54</v>
      </c>
      <c r="M70" s="19">
        <v>33.9</v>
      </c>
      <c r="N70" s="19">
        <v>12</v>
      </c>
      <c r="O70" s="19">
        <v>146</v>
      </c>
      <c r="P70" s="19">
        <v>55.2</v>
      </c>
      <c r="Q70" s="19">
        <v>78.8</v>
      </c>
      <c r="R70" s="19">
        <v>60</v>
      </c>
      <c r="S70" s="19">
        <v>3.04</v>
      </c>
      <c r="T70" s="19">
        <v>76.8</v>
      </c>
      <c r="U70" s="19">
        <v>71.400000000000006</v>
      </c>
      <c r="V70" s="19">
        <v>90.7</v>
      </c>
      <c r="W70" s="21" t="s">
        <v>276</v>
      </c>
      <c r="X70" s="23">
        <v>44819</v>
      </c>
      <c r="Y70" s="20">
        <v>34</v>
      </c>
      <c r="Z70" s="20">
        <v>5</v>
      </c>
      <c r="AA70" s="20">
        <v>29</v>
      </c>
      <c r="AB70" s="20">
        <v>66</v>
      </c>
      <c r="AC70" s="20">
        <v>1.63</v>
      </c>
      <c r="AD70" s="20">
        <f t="shared" si="7"/>
        <v>24.840980089578082</v>
      </c>
      <c r="AE70" s="20">
        <f t="shared" si="8"/>
        <v>8</v>
      </c>
      <c r="AF70" s="20" t="s">
        <v>292</v>
      </c>
      <c r="AG70" s="30">
        <v>44859</v>
      </c>
      <c r="AH70" s="25">
        <v>40</v>
      </c>
      <c r="AI70" s="25">
        <v>2</v>
      </c>
      <c r="AJ70" s="25" t="s">
        <v>291</v>
      </c>
      <c r="AK70" s="25">
        <v>3640</v>
      </c>
      <c r="AL70" s="20">
        <v>226</v>
      </c>
      <c r="AM70" s="20">
        <v>150</v>
      </c>
      <c r="AN70" s="20">
        <v>63</v>
      </c>
      <c r="AO70" s="20">
        <v>133</v>
      </c>
      <c r="AP70" s="20">
        <v>29</v>
      </c>
      <c r="AQ70" s="20">
        <f t="shared" si="9"/>
        <v>54.794520547945211</v>
      </c>
      <c r="AR70" s="26">
        <v>69.650000000000006</v>
      </c>
      <c r="AS70" s="26">
        <v>88.19</v>
      </c>
      <c r="AT70" s="5">
        <f t="shared" si="10"/>
        <v>1.2661880832735102</v>
      </c>
    </row>
    <row r="71" spans="1:47" ht="19" x14ac:dyDescent="0.25">
      <c r="A71" s="20">
        <v>7</v>
      </c>
      <c r="B71" s="21" t="s">
        <v>46</v>
      </c>
      <c r="C71" s="22" t="s">
        <v>47</v>
      </c>
      <c r="D71" s="19">
        <v>37</v>
      </c>
      <c r="E71" s="19">
        <v>11</v>
      </c>
      <c r="F71" s="19">
        <v>5</v>
      </c>
      <c r="G71" s="19">
        <v>82</v>
      </c>
      <c r="H71" s="19">
        <v>71</v>
      </c>
      <c r="I71" s="19">
        <v>161</v>
      </c>
      <c r="J71" s="19">
        <v>27.4</v>
      </c>
      <c r="K71" s="19">
        <v>108</v>
      </c>
      <c r="L71" s="19">
        <v>59</v>
      </c>
      <c r="M71" s="19">
        <v>37.799999999999997</v>
      </c>
      <c r="N71" s="19">
        <v>13.3</v>
      </c>
      <c r="O71" s="19">
        <v>212</v>
      </c>
      <c r="P71" s="19">
        <v>83.3</v>
      </c>
      <c r="Q71" s="19">
        <v>94.9</v>
      </c>
      <c r="R71" s="19">
        <v>169</v>
      </c>
      <c r="S71" s="19">
        <v>21.4</v>
      </c>
      <c r="T71" s="19">
        <v>92.8</v>
      </c>
      <c r="U71" s="19">
        <v>105.4</v>
      </c>
      <c r="V71" s="19">
        <v>179</v>
      </c>
      <c r="W71" s="21" t="s">
        <v>48</v>
      </c>
      <c r="X71" s="23">
        <v>44930</v>
      </c>
      <c r="Y71" s="20">
        <v>36</v>
      </c>
      <c r="Z71" s="20">
        <v>2</v>
      </c>
      <c r="AA71" s="20">
        <v>38</v>
      </c>
      <c r="AB71" s="20">
        <v>78.5</v>
      </c>
      <c r="AC71" s="20">
        <v>1.61</v>
      </c>
      <c r="AD71" s="20">
        <f t="shared" si="7"/>
        <v>30.284325450407003</v>
      </c>
      <c r="AE71" s="20">
        <f t="shared" si="8"/>
        <v>7.5</v>
      </c>
      <c r="AF71" s="20" t="s">
        <v>292</v>
      </c>
      <c r="AG71" s="24">
        <v>44944</v>
      </c>
      <c r="AH71" s="25">
        <v>38</v>
      </c>
      <c r="AI71" s="25">
        <v>2</v>
      </c>
      <c r="AJ71" s="25" t="s">
        <v>290</v>
      </c>
      <c r="AK71" s="25">
        <v>3490</v>
      </c>
      <c r="AL71" s="20">
        <v>226</v>
      </c>
      <c r="AM71" s="20">
        <v>343</v>
      </c>
      <c r="AN71" s="20">
        <v>73</v>
      </c>
      <c r="AO71" s="20">
        <v>84</v>
      </c>
      <c r="AP71" s="20">
        <v>68</v>
      </c>
      <c r="AQ71" s="20">
        <f t="shared" si="9"/>
        <v>6.6037735849056673</v>
      </c>
      <c r="AR71" s="26">
        <v>153.49</v>
      </c>
      <c r="AS71" s="26">
        <v>81.63</v>
      </c>
      <c r="AT71" s="5">
        <f t="shared" si="10"/>
        <v>0.53182617760114659</v>
      </c>
      <c r="AU71" s="5">
        <v>-0.04</v>
      </c>
    </row>
    <row r="72" spans="1:47" ht="19" x14ac:dyDescent="0.25">
      <c r="A72" s="20">
        <v>43</v>
      </c>
      <c r="B72" s="21" t="s">
        <v>154</v>
      </c>
      <c r="C72" s="22" t="s">
        <v>155</v>
      </c>
      <c r="D72" s="19">
        <v>32</v>
      </c>
      <c r="E72" s="19">
        <v>9</v>
      </c>
      <c r="F72" s="19">
        <v>4</v>
      </c>
      <c r="G72" s="19">
        <v>67</v>
      </c>
      <c r="H72" s="19">
        <v>56</v>
      </c>
      <c r="I72" s="19">
        <v>169</v>
      </c>
      <c r="J72" s="19">
        <v>19.600000000000001</v>
      </c>
      <c r="K72" s="19">
        <v>106</v>
      </c>
      <c r="L72" s="19">
        <v>54</v>
      </c>
      <c r="M72" s="19">
        <v>34.799999999999997</v>
      </c>
      <c r="N72" s="19">
        <v>12.1</v>
      </c>
      <c r="O72" s="19">
        <v>134</v>
      </c>
      <c r="P72" s="19">
        <v>59.4</v>
      </c>
      <c r="Q72" s="19">
        <v>60.4</v>
      </c>
      <c r="R72" s="19">
        <v>71</v>
      </c>
      <c r="S72" s="19">
        <v>2.0499999999999998</v>
      </c>
      <c r="T72" s="19">
        <v>69.5</v>
      </c>
      <c r="U72" s="19">
        <v>72</v>
      </c>
      <c r="V72" s="31">
        <v>57</v>
      </c>
      <c r="W72" s="21" t="s">
        <v>156</v>
      </c>
      <c r="X72" s="23">
        <v>44777</v>
      </c>
      <c r="Y72" s="20">
        <v>35</v>
      </c>
      <c r="Z72" s="20">
        <v>2</v>
      </c>
      <c r="AA72" s="20">
        <v>32</v>
      </c>
      <c r="AB72" s="20">
        <v>69</v>
      </c>
      <c r="AC72" s="20">
        <v>1.69</v>
      </c>
      <c r="AD72" s="20">
        <f t="shared" si="7"/>
        <v>24.158817968558527</v>
      </c>
      <c r="AE72" s="20">
        <f t="shared" si="8"/>
        <v>13</v>
      </c>
      <c r="AF72" s="20" t="s">
        <v>289</v>
      </c>
      <c r="AG72" s="24">
        <v>44806</v>
      </c>
      <c r="AH72" s="25">
        <v>39</v>
      </c>
      <c r="AI72" s="25">
        <v>3</v>
      </c>
      <c r="AJ72" s="25" t="s">
        <v>291</v>
      </c>
      <c r="AK72" s="25">
        <v>3145</v>
      </c>
      <c r="AL72" s="20">
        <v>221</v>
      </c>
      <c r="AM72" s="20">
        <v>270</v>
      </c>
      <c r="AN72" s="20">
        <v>67</v>
      </c>
      <c r="AO72" s="20">
        <v>99</v>
      </c>
      <c r="AP72" s="20">
        <v>54</v>
      </c>
      <c r="AQ72" s="20">
        <f t="shared" si="9"/>
        <v>64.925373134328368</v>
      </c>
      <c r="AR72" s="26">
        <v>118.91</v>
      </c>
      <c r="AS72" s="26">
        <v>97.32</v>
      </c>
      <c r="AT72" s="5">
        <f t="shared" si="10"/>
        <v>0.81843410983096454</v>
      </c>
    </row>
    <row r="73" spans="1:47" ht="19" x14ac:dyDescent="0.25">
      <c r="A73" s="20">
        <v>72</v>
      </c>
      <c r="B73" s="21" t="s">
        <v>241</v>
      </c>
      <c r="C73" s="22" t="s">
        <v>242</v>
      </c>
      <c r="D73" s="19">
        <v>28</v>
      </c>
      <c r="E73" s="19">
        <v>9</v>
      </c>
      <c r="F73" s="19">
        <v>6</v>
      </c>
      <c r="G73" s="19">
        <v>69</v>
      </c>
      <c r="H73" s="19">
        <v>56</v>
      </c>
      <c r="I73" s="19">
        <v>157</v>
      </c>
      <c r="J73" s="19">
        <v>22.7</v>
      </c>
      <c r="K73" s="19">
        <v>109</v>
      </c>
      <c r="L73" s="19">
        <v>71</v>
      </c>
      <c r="M73" s="19">
        <v>39.700000000000003</v>
      </c>
      <c r="N73" s="19">
        <v>14.1</v>
      </c>
      <c r="O73" s="19">
        <v>179</v>
      </c>
      <c r="P73" s="19">
        <v>69.400000000000006</v>
      </c>
      <c r="Q73" s="19">
        <v>94.4</v>
      </c>
      <c r="R73" s="19">
        <v>76</v>
      </c>
      <c r="S73" s="19">
        <v>3.16</v>
      </c>
      <c r="T73" s="31">
        <v>64.7</v>
      </c>
      <c r="U73" s="19"/>
      <c r="V73" s="19"/>
      <c r="W73" s="21" t="s">
        <v>243</v>
      </c>
      <c r="X73" s="23">
        <v>44853</v>
      </c>
      <c r="Y73" s="20">
        <v>35</v>
      </c>
      <c r="Z73" s="20">
        <v>3</v>
      </c>
      <c r="AA73" s="20">
        <v>28</v>
      </c>
      <c r="AB73" s="20">
        <v>65</v>
      </c>
      <c r="AC73" s="20">
        <v>1.57</v>
      </c>
      <c r="AD73" s="20">
        <f t="shared" si="7"/>
        <v>26.370238143535232</v>
      </c>
      <c r="AE73" s="20">
        <f t="shared" si="8"/>
        <v>9</v>
      </c>
      <c r="AF73" s="20" t="s">
        <v>292</v>
      </c>
      <c r="AG73" s="30">
        <v>44877</v>
      </c>
      <c r="AH73" s="25">
        <v>38</v>
      </c>
      <c r="AI73" s="25">
        <v>6</v>
      </c>
      <c r="AJ73" s="25" t="s">
        <v>290</v>
      </c>
      <c r="AK73" s="25">
        <v>3425</v>
      </c>
      <c r="AL73" s="20">
        <v>221</v>
      </c>
      <c r="AM73" s="20">
        <v>126</v>
      </c>
      <c r="AN73" s="20">
        <v>80</v>
      </c>
      <c r="AO73" s="20">
        <v>115</v>
      </c>
      <c r="AP73" s="20">
        <v>25</v>
      </c>
      <c r="AQ73" s="20">
        <f t="shared" si="9"/>
        <v>23.463687150837984</v>
      </c>
      <c r="AR73" s="26">
        <v>94.22</v>
      </c>
      <c r="AS73" s="26">
        <v>84.26</v>
      </c>
      <c r="AT73" s="5">
        <f t="shared" si="10"/>
        <v>0.89428995966886016</v>
      </c>
      <c r="AU73" s="5">
        <v>1.91</v>
      </c>
    </row>
    <row r="74" spans="1:47" ht="19" x14ac:dyDescent="0.25">
      <c r="A74" s="20">
        <v>47</v>
      </c>
      <c r="B74" s="21" t="s">
        <v>166</v>
      </c>
      <c r="C74" s="22" t="s">
        <v>167</v>
      </c>
      <c r="D74" s="19">
        <v>32</v>
      </c>
      <c r="E74" s="19">
        <v>8</v>
      </c>
      <c r="F74" s="19">
        <v>3</v>
      </c>
      <c r="G74" s="19">
        <v>59</v>
      </c>
      <c r="H74" s="19">
        <v>58</v>
      </c>
      <c r="I74" s="19">
        <v>167</v>
      </c>
      <c r="J74" s="19">
        <v>20.8</v>
      </c>
      <c r="K74" s="19">
        <v>92</v>
      </c>
      <c r="L74" s="19">
        <v>64</v>
      </c>
      <c r="M74" s="19">
        <v>38.200000000000003</v>
      </c>
      <c r="N74" s="19">
        <v>12.7</v>
      </c>
      <c r="O74" s="19">
        <v>175</v>
      </c>
      <c r="P74" s="19">
        <v>67.2</v>
      </c>
      <c r="Q74" s="19">
        <v>92</v>
      </c>
      <c r="R74" s="19">
        <v>79.099999999999994</v>
      </c>
      <c r="S74" s="19">
        <v>5.1100000000000003</v>
      </c>
      <c r="T74" s="19">
        <v>84.4</v>
      </c>
      <c r="U74" s="19">
        <v>87.3</v>
      </c>
      <c r="V74" s="19">
        <v>83.8</v>
      </c>
      <c r="W74" s="21" t="s">
        <v>168</v>
      </c>
      <c r="X74" s="23">
        <v>44993</v>
      </c>
      <c r="Y74" s="20">
        <v>34</v>
      </c>
      <c r="Z74" s="20">
        <v>5</v>
      </c>
      <c r="AA74" s="20">
        <v>33</v>
      </c>
      <c r="AB74" s="20">
        <v>66.7</v>
      </c>
      <c r="AC74" s="20">
        <v>1.67</v>
      </c>
      <c r="AD74" s="20">
        <f t="shared" si="7"/>
        <v>23.916239377532364</v>
      </c>
      <c r="AE74" s="20">
        <f t="shared" si="8"/>
        <v>8.7000000000000028</v>
      </c>
      <c r="AF74" s="20" t="s">
        <v>292</v>
      </c>
      <c r="AG74" s="27">
        <v>45024</v>
      </c>
      <c r="AH74" s="28">
        <v>39</v>
      </c>
      <c r="AI74" s="28">
        <v>0</v>
      </c>
      <c r="AJ74" s="28" t="s">
        <v>290</v>
      </c>
      <c r="AK74" s="28">
        <v>3100</v>
      </c>
      <c r="AL74" s="20">
        <v>220</v>
      </c>
      <c r="AM74" s="20">
        <v>204</v>
      </c>
      <c r="AN74" s="20">
        <v>74</v>
      </c>
      <c r="AO74" s="20">
        <v>106</v>
      </c>
      <c r="AP74" s="20">
        <v>41</v>
      </c>
      <c r="AQ74" s="20">
        <f t="shared" si="9"/>
        <v>25.714285714285708</v>
      </c>
      <c r="AR74" s="26"/>
      <c r="AS74" s="26"/>
    </row>
    <row r="75" spans="1:47" ht="19" x14ac:dyDescent="0.25">
      <c r="A75" s="20">
        <v>18</v>
      </c>
      <c r="B75" s="21" t="s">
        <v>79</v>
      </c>
      <c r="C75" s="22" t="s">
        <v>80</v>
      </c>
      <c r="D75" s="19">
        <v>35</v>
      </c>
      <c r="E75" s="19">
        <v>6</v>
      </c>
      <c r="F75" s="19">
        <v>1</v>
      </c>
      <c r="G75" s="19">
        <v>43</v>
      </c>
      <c r="H75" s="19">
        <v>80</v>
      </c>
      <c r="I75" s="19">
        <v>168</v>
      </c>
      <c r="J75" s="19">
        <v>28.3</v>
      </c>
      <c r="K75" s="19">
        <v>105</v>
      </c>
      <c r="L75" s="19">
        <v>63</v>
      </c>
      <c r="M75" s="19">
        <v>37.5</v>
      </c>
      <c r="N75" s="19">
        <v>13.1</v>
      </c>
      <c r="O75" s="19">
        <v>164</v>
      </c>
      <c r="P75" s="19">
        <v>56.2</v>
      </c>
      <c r="Q75" s="19">
        <v>96.4</v>
      </c>
      <c r="R75" s="19">
        <v>57</v>
      </c>
      <c r="S75" s="19">
        <v>4.13</v>
      </c>
      <c r="T75" s="19">
        <v>80</v>
      </c>
      <c r="U75" s="19">
        <v>71</v>
      </c>
      <c r="V75" s="19">
        <v>83</v>
      </c>
      <c r="W75" s="21" t="s">
        <v>81</v>
      </c>
      <c r="X75" s="23">
        <v>44782</v>
      </c>
      <c r="Y75" s="20">
        <v>34</v>
      </c>
      <c r="Z75" s="20">
        <v>5</v>
      </c>
      <c r="AA75" s="20">
        <v>35</v>
      </c>
      <c r="AB75" s="20">
        <v>101</v>
      </c>
      <c r="AC75" s="20">
        <v>1.67</v>
      </c>
      <c r="AD75" s="20">
        <f t="shared" si="7"/>
        <v>36.214995159381836</v>
      </c>
      <c r="AE75" s="20">
        <f t="shared" si="8"/>
        <v>21</v>
      </c>
      <c r="AF75" s="20" t="s">
        <v>292</v>
      </c>
      <c r="AG75" s="24">
        <v>44826</v>
      </c>
      <c r="AH75" s="25">
        <v>40</v>
      </c>
      <c r="AI75" s="25">
        <v>6</v>
      </c>
      <c r="AJ75" s="25" t="s">
        <v>290</v>
      </c>
      <c r="AK75" s="25">
        <v>3610</v>
      </c>
      <c r="AL75" s="20">
        <v>218</v>
      </c>
      <c r="AM75" s="20">
        <v>169</v>
      </c>
      <c r="AN75" s="20">
        <v>84</v>
      </c>
      <c r="AO75" s="20">
        <v>98</v>
      </c>
      <c r="AP75" s="20">
        <v>33</v>
      </c>
      <c r="AQ75" s="20">
        <f t="shared" si="9"/>
        <v>32.926829268292693</v>
      </c>
      <c r="AR75" s="26">
        <v>101.72</v>
      </c>
      <c r="AS75" s="26">
        <v>76.790000000000006</v>
      </c>
      <c r="AT75" s="5">
        <f t="shared" si="10"/>
        <v>0.75491545418796702</v>
      </c>
      <c r="AU75" s="5">
        <v>0.98</v>
      </c>
    </row>
    <row r="76" spans="1:47" ht="19" x14ac:dyDescent="0.25">
      <c r="A76" s="20">
        <v>27</v>
      </c>
      <c r="B76" s="21" t="s">
        <v>106</v>
      </c>
      <c r="C76" s="22" t="s">
        <v>107</v>
      </c>
      <c r="D76" s="19">
        <v>33</v>
      </c>
      <c r="E76" s="19">
        <v>10</v>
      </c>
      <c r="F76" s="19">
        <v>1</v>
      </c>
      <c r="G76" s="19">
        <v>71</v>
      </c>
      <c r="H76" s="19">
        <v>62</v>
      </c>
      <c r="I76" s="19">
        <v>169</v>
      </c>
      <c r="J76" s="19">
        <v>21.7</v>
      </c>
      <c r="K76" s="19">
        <v>106</v>
      </c>
      <c r="L76" s="19">
        <v>68</v>
      </c>
      <c r="M76" s="19">
        <v>35.9</v>
      </c>
      <c r="N76" s="19">
        <v>12.9</v>
      </c>
      <c r="O76" s="19">
        <v>147</v>
      </c>
      <c r="P76" s="19">
        <v>60.4</v>
      </c>
      <c r="Q76" s="19">
        <v>73.8</v>
      </c>
      <c r="R76" s="19">
        <v>64</v>
      </c>
      <c r="S76" s="19">
        <v>5.67</v>
      </c>
      <c r="T76" s="19">
        <v>74.2</v>
      </c>
      <c r="U76" s="19">
        <v>73</v>
      </c>
      <c r="V76" s="19">
        <v>80</v>
      </c>
      <c r="W76" s="21" t="s">
        <v>108</v>
      </c>
      <c r="X76" s="23">
        <v>44781</v>
      </c>
      <c r="Y76" s="20">
        <v>37</v>
      </c>
      <c r="Z76" s="20">
        <v>4</v>
      </c>
      <c r="AA76" s="20">
        <v>33</v>
      </c>
      <c r="AB76" s="20">
        <v>76</v>
      </c>
      <c r="AC76" s="20">
        <v>1.69</v>
      </c>
      <c r="AD76" s="20">
        <f t="shared" si="7"/>
        <v>26.609712545078956</v>
      </c>
      <c r="AE76" s="20">
        <f t="shared" si="8"/>
        <v>14</v>
      </c>
      <c r="AF76" s="20" t="s">
        <v>289</v>
      </c>
      <c r="AG76" s="24">
        <v>44803</v>
      </c>
      <c r="AH76" s="25">
        <v>40</v>
      </c>
      <c r="AI76" s="25">
        <v>5</v>
      </c>
      <c r="AJ76" s="25" t="s">
        <v>291</v>
      </c>
      <c r="AK76" s="25">
        <v>3455</v>
      </c>
      <c r="AL76" s="20">
        <v>216</v>
      </c>
      <c r="AM76" s="20">
        <v>195</v>
      </c>
      <c r="AN76" s="20">
        <v>63</v>
      </c>
      <c r="AO76" s="20">
        <v>113</v>
      </c>
      <c r="AP76" s="20">
        <v>39</v>
      </c>
      <c r="AQ76" s="20">
        <f t="shared" si="9"/>
        <v>46.938775510204096</v>
      </c>
      <c r="AR76" s="26">
        <v>107.42</v>
      </c>
      <c r="AS76" s="26">
        <v>67.92</v>
      </c>
      <c r="AT76" s="5">
        <f t="shared" si="10"/>
        <v>0.63228449078383919</v>
      </c>
    </row>
    <row r="77" spans="1:47" ht="19" x14ac:dyDescent="0.25">
      <c r="A77" s="20">
        <v>16</v>
      </c>
      <c r="B77" s="21" t="s">
        <v>73</v>
      </c>
      <c r="C77" s="22" t="s">
        <v>74</v>
      </c>
      <c r="D77" s="19">
        <v>35</v>
      </c>
      <c r="E77" s="19">
        <v>6</v>
      </c>
      <c r="F77" s="19">
        <v>0</v>
      </c>
      <c r="G77" s="19">
        <v>42</v>
      </c>
      <c r="H77" s="19">
        <v>60</v>
      </c>
      <c r="I77" s="19">
        <v>163</v>
      </c>
      <c r="J77" s="19">
        <v>22.6</v>
      </c>
      <c r="K77" s="19">
        <v>101</v>
      </c>
      <c r="L77" s="19">
        <v>75</v>
      </c>
      <c r="M77" s="19">
        <v>35.1</v>
      </c>
      <c r="N77" s="19">
        <v>12.4</v>
      </c>
      <c r="O77" s="19">
        <v>159</v>
      </c>
      <c r="P77" s="19">
        <v>45</v>
      </c>
      <c r="Q77" s="19">
        <v>99.6</v>
      </c>
      <c r="R77" s="19">
        <v>72</v>
      </c>
      <c r="S77" s="19">
        <v>6.4</v>
      </c>
      <c r="T77" s="19">
        <v>84.6</v>
      </c>
      <c r="U77" s="19">
        <v>80.2</v>
      </c>
      <c r="V77" s="19">
        <v>79.900000000000006</v>
      </c>
      <c r="W77" s="21" t="s">
        <v>75</v>
      </c>
      <c r="X77" s="23">
        <v>44831</v>
      </c>
      <c r="Y77" s="20">
        <v>35</v>
      </c>
      <c r="Z77" s="20">
        <v>5</v>
      </c>
      <c r="AA77" s="20">
        <v>35</v>
      </c>
      <c r="AB77" s="20">
        <v>67.900000000000006</v>
      </c>
      <c r="AC77" s="20">
        <v>1.63</v>
      </c>
      <c r="AD77" s="20">
        <f t="shared" si="7"/>
        <v>25.556099213368967</v>
      </c>
      <c r="AE77" s="20">
        <f t="shared" si="8"/>
        <v>7.9000000000000057</v>
      </c>
      <c r="AF77" s="20" t="s">
        <v>289</v>
      </c>
      <c r="AG77" s="30">
        <v>44859</v>
      </c>
      <c r="AH77" s="25">
        <v>39</v>
      </c>
      <c r="AI77" s="25">
        <v>6</v>
      </c>
      <c r="AJ77" s="25" t="s">
        <v>290</v>
      </c>
      <c r="AK77" s="25">
        <v>4100</v>
      </c>
      <c r="AL77" s="20">
        <v>213</v>
      </c>
      <c r="AM77" s="20">
        <v>152</v>
      </c>
      <c r="AN77" s="20">
        <v>48</v>
      </c>
      <c r="AO77" s="20">
        <v>133</v>
      </c>
      <c r="AP77" s="20">
        <v>30</v>
      </c>
      <c r="AQ77" s="20">
        <f t="shared" si="9"/>
        <v>33.962264150943383</v>
      </c>
      <c r="AR77" s="26">
        <v>77.8</v>
      </c>
      <c r="AS77" s="26">
        <v>98.18</v>
      </c>
      <c r="AT77" s="5">
        <f>AS77/AR77</f>
        <v>1.2619537275064268</v>
      </c>
    </row>
    <row r="78" spans="1:47" ht="19" x14ac:dyDescent="0.25">
      <c r="A78" s="20">
        <v>82</v>
      </c>
      <c r="B78" s="21" t="s">
        <v>271</v>
      </c>
      <c r="C78" s="22" t="s">
        <v>272</v>
      </c>
      <c r="D78" s="19">
        <v>29</v>
      </c>
      <c r="E78" s="19">
        <v>9</v>
      </c>
      <c r="F78" s="19">
        <v>2</v>
      </c>
      <c r="G78" s="19">
        <v>65</v>
      </c>
      <c r="H78" s="19">
        <v>64</v>
      </c>
      <c r="I78" s="19">
        <v>165</v>
      </c>
      <c r="J78" s="19">
        <v>23.9</v>
      </c>
      <c r="K78" s="19">
        <v>112</v>
      </c>
      <c r="L78" s="19">
        <v>55</v>
      </c>
      <c r="M78" s="19">
        <v>38.4</v>
      </c>
      <c r="N78" s="19">
        <v>13.6</v>
      </c>
      <c r="O78" s="19">
        <v>193</v>
      </c>
      <c r="P78" s="19">
        <v>55.7</v>
      </c>
      <c r="Q78" s="19">
        <v>122.3</v>
      </c>
      <c r="R78" s="19">
        <v>75</v>
      </c>
      <c r="S78" s="19">
        <v>9.2899999999999991</v>
      </c>
      <c r="T78" s="19">
        <v>89.8</v>
      </c>
      <c r="U78" s="19">
        <v>73.7</v>
      </c>
      <c r="V78" s="19">
        <v>103.7</v>
      </c>
      <c r="W78" s="21" t="s">
        <v>273</v>
      </c>
      <c r="X78" s="23">
        <v>44914</v>
      </c>
      <c r="Y78" s="20">
        <v>36</v>
      </c>
      <c r="Z78" s="20">
        <v>0</v>
      </c>
      <c r="AA78" s="20">
        <v>29</v>
      </c>
      <c r="AB78" s="20">
        <v>72</v>
      </c>
      <c r="AC78" s="20">
        <v>1.65</v>
      </c>
      <c r="AD78" s="20">
        <f t="shared" si="7"/>
        <v>26.446280991735541</v>
      </c>
      <c r="AE78" s="20">
        <f t="shared" si="8"/>
        <v>8</v>
      </c>
      <c r="AF78" s="20" t="s">
        <v>289</v>
      </c>
      <c r="AG78" s="30">
        <v>44925</v>
      </c>
      <c r="AH78" s="25">
        <v>37</v>
      </c>
      <c r="AI78" s="25">
        <v>4</v>
      </c>
      <c r="AJ78" s="25" t="s">
        <v>290</v>
      </c>
      <c r="AK78" s="25">
        <v>2855</v>
      </c>
      <c r="AL78" s="20">
        <v>213</v>
      </c>
      <c r="AM78" s="20">
        <v>217</v>
      </c>
      <c r="AN78" s="20">
        <v>46</v>
      </c>
      <c r="AO78" s="20">
        <v>122</v>
      </c>
      <c r="AP78" s="20">
        <v>43</v>
      </c>
      <c r="AQ78" s="20">
        <f t="shared" si="9"/>
        <v>10.362694300518129</v>
      </c>
      <c r="AR78" s="26">
        <v>90.63</v>
      </c>
      <c r="AS78" s="26">
        <v>115.87</v>
      </c>
      <c r="AT78" s="5">
        <f t="shared" si="10"/>
        <v>1.2784949795873333</v>
      </c>
      <c r="AU78" s="5">
        <v>0.5</v>
      </c>
    </row>
    <row r="79" spans="1:47" ht="19" x14ac:dyDescent="0.25">
      <c r="A79" s="20">
        <v>79</v>
      </c>
      <c r="B79" s="21" t="s">
        <v>262</v>
      </c>
      <c r="C79" s="22" t="s">
        <v>263</v>
      </c>
      <c r="D79" s="19">
        <v>31</v>
      </c>
      <c r="E79" s="19">
        <v>9</v>
      </c>
      <c r="F79" s="19">
        <v>6</v>
      </c>
      <c r="G79" s="19">
        <v>69</v>
      </c>
      <c r="H79" s="19">
        <v>57</v>
      </c>
      <c r="I79" s="19">
        <v>164</v>
      </c>
      <c r="J79" s="19">
        <v>21.2</v>
      </c>
      <c r="K79" s="19">
        <v>90</v>
      </c>
      <c r="L79" s="19">
        <v>59</v>
      </c>
      <c r="M79" s="19">
        <v>37.5</v>
      </c>
      <c r="N79" s="19">
        <v>13.1</v>
      </c>
      <c r="O79" s="19">
        <v>164</v>
      </c>
      <c r="P79" s="19">
        <v>80.099999999999994</v>
      </c>
      <c r="Q79" s="19">
        <v>73.099999999999994</v>
      </c>
      <c r="R79" s="19">
        <v>54</v>
      </c>
      <c r="S79" s="19">
        <v>3.35</v>
      </c>
      <c r="T79" s="19">
        <v>74.5</v>
      </c>
      <c r="U79" s="19">
        <v>76</v>
      </c>
      <c r="V79" s="19">
        <v>87</v>
      </c>
      <c r="W79" s="21" t="s">
        <v>264</v>
      </c>
      <c r="X79" s="23">
        <v>44805</v>
      </c>
      <c r="Y79" s="20">
        <v>35</v>
      </c>
      <c r="Z79" s="20">
        <v>3</v>
      </c>
      <c r="AA79" s="20">
        <v>32</v>
      </c>
      <c r="AB79" s="20">
        <v>73</v>
      </c>
      <c r="AC79" s="20">
        <v>1.64</v>
      </c>
      <c r="AD79" s="20">
        <f t="shared" si="7"/>
        <v>27.141582391433676</v>
      </c>
      <c r="AE79" s="20">
        <f t="shared" si="8"/>
        <v>16</v>
      </c>
      <c r="AF79" s="20" t="s">
        <v>289</v>
      </c>
      <c r="AG79" s="24">
        <v>44827</v>
      </c>
      <c r="AH79" s="25">
        <v>38</v>
      </c>
      <c r="AI79" s="25">
        <v>6</v>
      </c>
      <c r="AJ79" s="25" t="s">
        <v>290</v>
      </c>
      <c r="AK79" s="25">
        <v>3390</v>
      </c>
      <c r="AL79" s="20">
        <v>191</v>
      </c>
      <c r="AM79" s="20">
        <v>104</v>
      </c>
      <c r="AN79" s="20">
        <v>89</v>
      </c>
      <c r="AO79" s="20">
        <v>81</v>
      </c>
      <c r="AP79" s="20">
        <v>21</v>
      </c>
      <c r="AQ79" s="20">
        <f t="shared" si="9"/>
        <v>16.463414634146346</v>
      </c>
      <c r="AR79" s="26">
        <v>134.88</v>
      </c>
      <c r="AS79" s="26">
        <v>69.709999999999994</v>
      </c>
      <c r="AT79" s="5">
        <f t="shared" si="10"/>
        <v>0.5168297746144721</v>
      </c>
      <c r="AU79" s="5">
        <v>0.02</v>
      </c>
    </row>
    <row r="80" spans="1:47" ht="19" x14ac:dyDescent="0.25">
      <c r="A80" s="20">
        <v>60</v>
      </c>
      <c r="B80" s="21" t="s">
        <v>205</v>
      </c>
      <c r="C80" s="22" t="s">
        <v>206</v>
      </c>
      <c r="D80" s="19">
        <v>30</v>
      </c>
      <c r="E80" s="19">
        <v>7</v>
      </c>
      <c r="F80" s="19">
        <v>0</v>
      </c>
      <c r="G80" s="19">
        <v>49</v>
      </c>
      <c r="H80" s="19">
        <v>53</v>
      </c>
      <c r="I80" s="19">
        <v>156</v>
      </c>
      <c r="J80" s="19">
        <v>21.7</v>
      </c>
      <c r="K80" s="19">
        <v>140</v>
      </c>
      <c r="L80" s="19">
        <v>88</v>
      </c>
      <c r="M80" s="19">
        <v>39</v>
      </c>
      <c r="N80" s="19">
        <v>13.7</v>
      </c>
      <c r="O80" s="19">
        <v>158</v>
      </c>
      <c r="P80" s="19">
        <v>43.5</v>
      </c>
      <c r="Q80" s="19">
        <v>103.5</v>
      </c>
      <c r="R80" s="19">
        <v>55</v>
      </c>
      <c r="S80" s="19">
        <v>5.71</v>
      </c>
      <c r="T80" s="19">
        <v>85.1</v>
      </c>
      <c r="U80" s="19">
        <v>85.6</v>
      </c>
      <c r="V80" s="19">
        <v>120.7</v>
      </c>
      <c r="W80" s="21" t="s">
        <v>207</v>
      </c>
      <c r="X80" s="23">
        <v>44838</v>
      </c>
      <c r="Y80" s="20">
        <v>36</v>
      </c>
      <c r="Z80" s="20">
        <v>2</v>
      </c>
      <c r="AA80" s="20">
        <v>30</v>
      </c>
      <c r="AB80" s="20">
        <v>66</v>
      </c>
      <c r="AC80" s="20">
        <v>1.57</v>
      </c>
      <c r="AD80" s="20">
        <f t="shared" si="7"/>
        <v>26.775934114974238</v>
      </c>
      <c r="AE80" s="20">
        <f t="shared" si="8"/>
        <v>13</v>
      </c>
      <c r="AF80" s="20" t="s">
        <v>292</v>
      </c>
      <c r="AG80" s="24">
        <v>44867</v>
      </c>
      <c r="AH80" s="25">
        <v>40</v>
      </c>
      <c r="AI80" s="25">
        <v>3</v>
      </c>
      <c r="AJ80" s="25" t="s">
        <v>290</v>
      </c>
      <c r="AK80" s="25">
        <v>3760</v>
      </c>
      <c r="AL80" s="20">
        <v>189</v>
      </c>
      <c r="AM80" s="20">
        <v>178</v>
      </c>
      <c r="AN80" s="20">
        <v>47</v>
      </c>
      <c r="AO80" s="20">
        <v>106</v>
      </c>
      <c r="AP80" s="20">
        <v>36</v>
      </c>
      <c r="AQ80" s="20">
        <f t="shared" si="9"/>
        <v>19.620253164556956</v>
      </c>
      <c r="AR80" s="26">
        <v>70.11</v>
      </c>
      <c r="AS80" s="26">
        <v>94.72</v>
      </c>
      <c r="AT80" s="5">
        <f t="shared" si="10"/>
        <v>1.3510198259877335</v>
      </c>
      <c r="AU80" s="5">
        <v>0.02</v>
      </c>
    </row>
    <row r="81" spans="1:47" ht="19" x14ac:dyDescent="0.25">
      <c r="A81" s="20">
        <v>46</v>
      </c>
      <c r="B81" s="21" t="s">
        <v>163</v>
      </c>
      <c r="C81" s="22" t="s">
        <v>164</v>
      </c>
      <c r="D81" s="19">
        <v>32</v>
      </c>
      <c r="E81" s="19">
        <v>14</v>
      </c>
      <c r="F81" s="19">
        <v>2</v>
      </c>
      <c r="G81" s="19">
        <v>100</v>
      </c>
      <c r="H81" s="19">
        <v>63</v>
      </c>
      <c r="I81" s="19">
        <v>169</v>
      </c>
      <c r="J81" s="19">
        <v>22.05</v>
      </c>
      <c r="K81" s="19">
        <v>109</v>
      </c>
      <c r="L81" s="19">
        <v>72</v>
      </c>
      <c r="M81" s="19">
        <v>37.799999999999997</v>
      </c>
      <c r="N81" s="19">
        <v>13.3</v>
      </c>
      <c r="O81" s="19">
        <v>238</v>
      </c>
      <c r="P81" s="19">
        <v>84.1</v>
      </c>
      <c r="Q81" s="19">
        <v>129.30000000000001</v>
      </c>
      <c r="R81" s="19">
        <v>123</v>
      </c>
      <c r="S81" s="19">
        <v>7.48</v>
      </c>
      <c r="T81" s="19">
        <v>74.2</v>
      </c>
      <c r="U81" s="19">
        <v>78.900000000000006</v>
      </c>
      <c r="V81" s="31">
        <v>122.8</v>
      </c>
      <c r="W81" s="21" t="s">
        <v>165</v>
      </c>
      <c r="X81" s="23">
        <v>44754</v>
      </c>
      <c r="Y81" s="20">
        <v>37</v>
      </c>
      <c r="Z81" s="20">
        <v>0</v>
      </c>
      <c r="AA81" s="20">
        <v>32</v>
      </c>
      <c r="AB81" s="20">
        <v>82.5</v>
      </c>
      <c r="AC81" s="20">
        <v>1.69</v>
      </c>
      <c r="AD81" s="20">
        <f t="shared" si="7"/>
        <v>28.8855432232765</v>
      </c>
      <c r="AE81" s="20">
        <f t="shared" si="8"/>
        <v>19.5</v>
      </c>
      <c r="AF81" s="20" t="s">
        <v>289</v>
      </c>
      <c r="AG81" s="33">
        <v>44761</v>
      </c>
      <c r="AH81" s="34">
        <v>38</v>
      </c>
      <c r="AI81" s="34">
        <v>0</v>
      </c>
      <c r="AJ81" s="34" t="s">
        <v>290</v>
      </c>
      <c r="AK81" s="34">
        <v>3620</v>
      </c>
      <c r="AL81" s="20">
        <v>188</v>
      </c>
      <c r="AM81" s="20">
        <v>186</v>
      </c>
      <c r="AN81" s="20">
        <v>59</v>
      </c>
      <c r="AO81" s="20">
        <v>92</v>
      </c>
      <c r="AP81" s="20">
        <v>37</v>
      </c>
      <c r="AQ81" s="20">
        <f t="shared" si="9"/>
        <v>-21.008403361344534</v>
      </c>
      <c r="AR81" s="26">
        <v>136.57</v>
      </c>
      <c r="AS81" s="26">
        <v>107.69</v>
      </c>
      <c r="AT81" s="5">
        <f t="shared" si="10"/>
        <v>0.78853335285933956</v>
      </c>
      <c r="AU81" s="5">
        <v>0.56000000000000005</v>
      </c>
    </row>
    <row r="82" spans="1:47" ht="19" x14ac:dyDescent="0.25">
      <c r="A82" s="20">
        <v>32</v>
      </c>
      <c r="B82" s="21" t="s">
        <v>121</v>
      </c>
      <c r="C82" s="22" t="s">
        <v>122</v>
      </c>
      <c r="D82" s="19">
        <v>34</v>
      </c>
      <c r="E82" s="19">
        <v>8</v>
      </c>
      <c r="F82" s="19">
        <v>1</v>
      </c>
      <c r="G82" s="19">
        <v>57</v>
      </c>
      <c r="H82" s="19">
        <v>66</v>
      </c>
      <c r="I82" s="19">
        <v>155</v>
      </c>
      <c r="J82" s="19">
        <v>27.5</v>
      </c>
      <c r="K82" s="19">
        <v>104</v>
      </c>
      <c r="L82" s="19">
        <v>69</v>
      </c>
      <c r="M82" s="19">
        <v>39</v>
      </c>
      <c r="N82" s="19">
        <v>14</v>
      </c>
      <c r="O82" s="19">
        <v>216</v>
      </c>
      <c r="P82" s="19">
        <v>56.8</v>
      </c>
      <c r="Q82" s="19">
        <v>122.6</v>
      </c>
      <c r="R82" s="19">
        <v>183</v>
      </c>
      <c r="S82" s="19">
        <v>5.09</v>
      </c>
      <c r="T82" s="19">
        <v>79.5</v>
      </c>
      <c r="U82" s="19">
        <v>79</v>
      </c>
      <c r="V82" s="19">
        <v>80</v>
      </c>
      <c r="W82" s="21" t="s">
        <v>123</v>
      </c>
      <c r="X82" s="23">
        <v>44930</v>
      </c>
      <c r="Y82" s="20">
        <v>36</v>
      </c>
      <c r="Z82" s="20">
        <v>5</v>
      </c>
      <c r="AA82" s="20">
        <v>34</v>
      </c>
      <c r="AB82" s="20">
        <v>80</v>
      </c>
      <c r="AC82" s="20">
        <v>1.55</v>
      </c>
      <c r="AD82" s="20">
        <f t="shared" si="7"/>
        <v>33.298647242455772</v>
      </c>
      <c r="AE82" s="20">
        <f t="shared" si="8"/>
        <v>14</v>
      </c>
      <c r="AF82" s="20" t="s">
        <v>292</v>
      </c>
      <c r="AG82" s="24">
        <v>44944</v>
      </c>
      <c r="AH82" s="25">
        <v>38</v>
      </c>
      <c r="AI82" s="25">
        <v>4</v>
      </c>
      <c r="AJ82" s="25" t="s">
        <v>291</v>
      </c>
      <c r="AK82" s="25">
        <v>2140</v>
      </c>
      <c r="AL82" s="20">
        <v>188</v>
      </c>
      <c r="AM82" s="20">
        <v>305</v>
      </c>
      <c r="AN82" s="20">
        <v>50</v>
      </c>
      <c r="AO82" s="20">
        <v>76</v>
      </c>
      <c r="AP82" s="20">
        <v>61</v>
      </c>
      <c r="AQ82" s="20">
        <f t="shared" si="9"/>
        <v>-12.962962962962962</v>
      </c>
      <c r="AR82" s="26">
        <v>98.68</v>
      </c>
      <c r="AS82" s="26">
        <v>137.74</v>
      </c>
      <c r="AT82" s="5">
        <f t="shared" si="10"/>
        <v>1.3958248885285771</v>
      </c>
      <c r="AU82" s="5">
        <v>1.04</v>
      </c>
    </row>
    <row r="83" spans="1:47" ht="19" x14ac:dyDescent="0.25">
      <c r="A83" s="20">
        <v>4</v>
      </c>
      <c r="B83" s="21" t="s">
        <v>37</v>
      </c>
      <c r="C83" s="22" t="s">
        <v>38</v>
      </c>
      <c r="D83" s="19">
        <v>37</v>
      </c>
      <c r="E83" s="19">
        <v>8</v>
      </c>
      <c r="F83" s="19">
        <v>5</v>
      </c>
      <c r="G83" s="19">
        <v>61</v>
      </c>
      <c r="H83" s="19">
        <v>88.5</v>
      </c>
      <c r="I83" s="19">
        <v>171</v>
      </c>
      <c r="J83" s="19">
        <v>30.2</v>
      </c>
      <c r="K83" s="19">
        <v>106</v>
      </c>
      <c r="L83" s="19">
        <v>53</v>
      </c>
      <c r="M83" s="19">
        <v>37</v>
      </c>
      <c r="N83" s="19">
        <v>12.7</v>
      </c>
      <c r="O83" s="19">
        <v>146</v>
      </c>
      <c r="P83" s="19">
        <v>54</v>
      </c>
      <c r="Q83" s="19">
        <v>72.599999999999994</v>
      </c>
      <c r="R83" s="19">
        <v>97</v>
      </c>
      <c r="S83" s="19">
        <v>6.67</v>
      </c>
      <c r="T83" s="19">
        <v>85.2</v>
      </c>
      <c r="U83" s="19">
        <v>96.7</v>
      </c>
      <c r="V83" s="31">
        <v>127.5</v>
      </c>
      <c r="W83" s="21" t="s">
        <v>39</v>
      </c>
      <c r="X83" s="23">
        <v>44832</v>
      </c>
      <c r="Y83" s="20">
        <v>35</v>
      </c>
      <c r="Z83" s="20">
        <v>6</v>
      </c>
      <c r="AA83" s="20">
        <v>38</v>
      </c>
      <c r="AB83" s="20">
        <v>96</v>
      </c>
      <c r="AC83" s="20">
        <v>1.71</v>
      </c>
      <c r="AD83" s="20">
        <f t="shared" si="7"/>
        <v>32.830614548066073</v>
      </c>
      <c r="AE83" s="20">
        <f t="shared" si="8"/>
        <v>7.5</v>
      </c>
      <c r="AF83" s="20" t="s">
        <v>289</v>
      </c>
      <c r="AG83" s="30">
        <v>44852</v>
      </c>
      <c r="AH83" s="25">
        <v>38</v>
      </c>
      <c r="AI83" s="25">
        <v>5</v>
      </c>
      <c r="AJ83" s="25" t="s">
        <v>291</v>
      </c>
      <c r="AK83" s="25">
        <v>3460</v>
      </c>
      <c r="AL83" s="20">
        <v>173</v>
      </c>
      <c r="AM83" s="20">
        <v>178</v>
      </c>
      <c r="AN83" s="20">
        <v>58</v>
      </c>
      <c r="AO83" s="20">
        <v>79</v>
      </c>
      <c r="AP83" s="20">
        <v>36</v>
      </c>
      <c r="AQ83" s="20">
        <f t="shared" si="9"/>
        <v>18.493150684931507</v>
      </c>
      <c r="AR83" s="26">
        <v>111.11</v>
      </c>
      <c r="AS83" s="26">
        <v>92.54</v>
      </c>
      <c r="AT83" s="5">
        <f t="shared" si="10"/>
        <v>0.83286832868328686</v>
      </c>
    </row>
    <row r="84" spans="1:47" ht="19" x14ac:dyDescent="0.25">
      <c r="A84" s="20">
        <v>38</v>
      </c>
      <c r="B84" s="21" t="s">
        <v>139</v>
      </c>
      <c r="C84" s="22" t="s">
        <v>140</v>
      </c>
      <c r="D84" s="19">
        <v>32</v>
      </c>
      <c r="E84" s="19">
        <v>9</v>
      </c>
      <c r="F84" s="19">
        <v>2</v>
      </c>
      <c r="G84" s="19">
        <v>65</v>
      </c>
      <c r="H84" s="19">
        <v>50</v>
      </c>
      <c r="I84" s="19">
        <v>164</v>
      </c>
      <c r="J84" s="19">
        <v>18.600000000000001</v>
      </c>
      <c r="K84" s="19">
        <v>100</v>
      </c>
      <c r="L84" s="19">
        <v>67</v>
      </c>
      <c r="M84" s="19">
        <v>38.299999999999997</v>
      </c>
      <c r="N84" s="19">
        <v>13.4</v>
      </c>
      <c r="O84" s="19">
        <v>140</v>
      </c>
      <c r="P84" s="19">
        <v>57.8</v>
      </c>
      <c r="Q84" s="19">
        <v>69.400000000000006</v>
      </c>
      <c r="R84" s="19">
        <v>64</v>
      </c>
      <c r="S84" s="19">
        <v>4.0199999999999996</v>
      </c>
      <c r="T84" s="19">
        <v>78.3</v>
      </c>
      <c r="U84" s="19">
        <v>78.2</v>
      </c>
      <c r="V84" s="19">
        <v>68.2</v>
      </c>
      <c r="W84" s="21" t="s">
        <v>141</v>
      </c>
      <c r="X84" s="23">
        <v>44838</v>
      </c>
      <c r="Y84" s="20">
        <v>35</v>
      </c>
      <c r="Z84" s="20">
        <v>5</v>
      </c>
      <c r="AA84" s="20">
        <v>33</v>
      </c>
      <c r="AB84" s="20">
        <v>61.5</v>
      </c>
      <c r="AC84" s="20">
        <v>1.64</v>
      </c>
      <c r="AD84" s="20">
        <f t="shared" si="7"/>
        <v>22.86585365853659</v>
      </c>
      <c r="AE84" s="20">
        <f t="shared" si="8"/>
        <v>11.5</v>
      </c>
      <c r="AF84" s="20" t="s">
        <v>289</v>
      </c>
      <c r="AG84" s="24">
        <v>44869</v>
      </c>
      <c r="AH84" s="25">
        <v>40</v>
      </c>
      <c r="AI84" s="25">
        <v>0</v>
      </c>
      <c r="AJ84" s="25" t="s">
        <v>291</v>
      </c>
      <c r="AK84" s="25">
        <v>3875</v>
      </c>
      <c r="AL84" s="20">
        <v>169</v>
      </c>
      <c r="AM84" s="20">
        <v>135</v>
      </c>
      <c r="AN84" s="20">
        <v>65</v>
      </c>
      <c r="AO84" s="20">
        <v>76</v>
      </c>
      <c r="AP84" s="20">
        <v>24</v>
      </c>
      <c r="AQ84" s="20">
        <f t="shared" si="9"/>
        <v>20.714285714285708</v>
      </c>
      <c r="AR84" s="26">
        <v>96.75</v>
      </c>
      <c r="AS84" s="26">
        <v>79.44</v>
      </c>
      <c r="AT84" s="5">
        <f t="shared" si="10"/>
        <v>0.82108527131782938</v>
      </c>
    </row>
    <row r="87" spans="1:47" x14ac:dyDescent="0.2">
      <c r="AN87" s="35"/>
      <c r="AO87" s="35"/>
    </row>
    <row r="88" spans="1:47" x14ac:dyDescent="0.2">
      <c r="AO88" s="35"/>
    </row>
    <row r="90" spans="1:47" x14ac:dyDescent="0.2">
      <c r="AN90" s="35"/>
      <c r="AO90" s="35"/>
    </row>
    <row r="91" spans="1:47" x14ac:dyDescent="0.2">
      <c r="AO91" s="35"/>
    </row>
  </sheetData>
  <sortState xmlns:xlrd2="http://schemas.microsoft.com/office/spreadsheetml/2017/richdata2" ref="A2:AS91">
    <sortCondition descending="1" ref="AL1:AL9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D63B7-8E32-D740-860D-91D2F00EE7E7}">
  <dimension ref="A1:S93"/>
  <sheetViews>
    <sheetView workbookViewId="0">
      <selection sqref="A1:P1"/>
    </sheetView>
  </sheetViews>
  <sheetFormatPr baseColWidth="10" defaultColWidth="11" defaultRowHeight="16" x14ac:dyDescent="0.2"/>
  <cols>
    <col min="1" max="1" width="15.1640625" style="5" customWidth="1"/>
    <col min="2" max="16" width="11" style="5"/>
    <col min="20" max="16384" width="11" style="5"/>
  </cols>
  <sheetData>
    <row r="1" spans="1:19" s="1" customFormat="1" ht="17" x14ac:dyDescent="0.2">
      <c r="A1" s="39" t="s">
        <v>303</v>
      </c>
      <c r="B1" t="s">
        <v>304</v>
      </c>
      <c r="C1" t="s">
        <v>305</v>
      </c>
      <c r="D1" t="s">
        <v>306</v>
      </c>
      <c r="E1" t="s">
        <v>307</v>
      </c>
      <c r="F1" t="s">
        <v>308</v>
      </c>
      <c r="G1" t="s">
        <v>321</v>
      </c>
      <c r="H1" t="s">
        <v>309</v>
      </c>
      <c r="I1" t="s">
        <v>310</v>
      </c>
      <c r="J1" s="39" t="s">
        <v>311</v>
      </c>
      <c r="K1" t="s">
        <v>312</v>
      </c>
      <c r="L1" t="s">
        <v>313</v>
      </c>
      <c r="M1" t="s">
        <v>322</v>
      </c>
      <c r="N1" t="s">
        <v>314</v>
      </c>
      <c r="O1" t="s">
        <v>315</v>
      </c>
      <c r="P1" t="s">
        <v>316</v>
      </c>
    </row>
    <row r="2" spans="1:19" x14ac:dyDescent="0.2">
      <c r="A2" s="5">
        <v>1</v>
      </c>
      <c r="B2" s="8">
        <v>33</v>
      </c>
      <c r="C2" s="8">
        <v>68</v>
      </c>
      <c r="D2" s="8">
        <v>169</v>
      </c>
      <c r="E2" s="8">
        <v>23.8</v>
      </c>
      <c r="F2" s="8">
        <v>76.2</v>
      </c>
      <c r="G2" s="8">
        <v>101</v>
      </c>
      <c r="H2" s="8">
        <v>60</v>
      </c>
      <c r="I2" s="8">
        <v>239</v>
      </c>
      <c r="J2" s="5">
        <v>426</v>
      </c>
      <c r="K2" s="8">
        <v>85.1</v>
      </c>
      <c r="L2" s="5">
        <v>386</v>
      </c>
      <c r="M2" s="8">
        <v>69</v>
      </c>
      <c r="N2" s="5">
        <v>43</v>
      </c>
      <c r="O2" s="8">
        <v>153</v>
      </c>
      <c r="P2" s="5">
        <v>305</v>
      </c>
      <c r="Q2" s="5"/>
      <c r="R2" s="5"/>
      <c r="S2" s="5"/>
    </row>
    <row r="3" spans="1:19" x14ac:dyDescent="0.2">
      <c r="A3" s="5">
        <f>1+A2</f>
        <v>2</v>
      </c>
      <c r="B3" s="8">
        <v>37</v>
      </c>
      <c r="C3" s="8">
        <v>58.8</v>
      </c>
      <c r="D3" s="8">
        <v>162</v>
      </c>
      <c r="E3" s="8">
        <v>22.4</v>
      </c>
      <c r="F3" s="8">
        <v>71.900000000000006</v>
      </c>
      <c r="G3" s="8">
        <v>101</v>
      </c>
      <c r="H3" s="8">
        <v>58</v>
      </c>
      <c r="I3" s="8">
        <v>222</v>
      </c>
      <c r="J3" s="5">
        <v>399</v>
      </c>
      <c r="K3" s="8">
        <v>97</v>
      </c>
      <c r="L3" s="5">
        <v>356</v>
      </c>
      <c r="M3" s="8">
        <v>65.599999999999994</v>
      </c>
      <c r="N3" s="5">
        <v>50</v>
      </c>
      <c r="O3" s="8">
        <v>137</v>
      </c>
      <c r="P3" s="5">
        <v>278</v>
      </c>
      <c r="Q3" s="5"/>
      <c r="R3" s="5"/>
      <c r="S3" s="5"/>
    </row>
    <row r="4" spans="1:19" x14ac:dyDescent="0.2">
      <c r="A4" s="5">
        <f t="shared" ref="A4:A67" si="0">1+A3</f>
        <v>3</v>
      </c>
      <c r="B4" s="8">
        <v>30</v>
      </c>
      <c r="C4" s="8">
        <v>63</v>
      </c>
      <c r="D4" s="8">
        <v>160</v>
      </c>
      <c r="E4" s="8">
        <v>24.6</v>
      </c>
      <c r="F4" s="8">
        <v>79.8</v>
      </c>
      <c r="G4" s="8">
        <v>113</v>
      </c>
      <c r="H4" s="8">
        <v>58</v>
      </c>
      <c r="I4" s="8">
        <v>197</v>
      </c>
      <c r="J4" s="5">
        <v>396</v>
      </c>
      <c r="K4" s="8">
        <v>100</v>
      </c>
      <c r="L4" s="5">
        <v>356</v>
      </c>
      <c r="M4" s="8">
        <v>56.3</v>
      </c>
      <c r="N4" s="5">
        <v>55</v>
      </c>
      <c r="O4" s="8">
        <v>120.7</v>
      </c>
      <c r="P4" s="5">
        <v>269</v>
      </c>
      <c r="Q4" s="5"/>
      <c r="R4" s="5"/>
      <c r="S4" s="5"/>
    </row>
    <row r="5" spans="1:19" x14ac:dyDescent="0.2">
      <c r="A5" s="5">
        <f t="shared" si="0"/>
        <v>4</v>
      </c>
      <c r="B5" s="8">
        <v>26</v>
      </c>
      <c r="C5" s="8">
        <v>49</v>
      </c>
      <c r="D5" s="8">
        <v>154</v>
      </c>
      <c r="E5" s="8">
        <v>20.7</v>
      </c>
      <c r="F5" s="8">
        <v>81.3</v>
      </c>
      <c r="G5" s="8">
        <v>98</v>
      </c>
      <c r="H5" s="8">
        <v>53</v>
      </c>
      <c r="I5" s="8">
        <v>228</v>
      </c>
      <c r="J5" s="5">
        <v>391</v>
      </c>
      <c r="K5" s="8">
        <v>67</v>
      </c>
      <c r="L5" s="5">
        <v>316</v>
      </c>
      <c r="M5" s="8">
        <v>80.400000000000006</v>
      </c>
      <c r="N5" s="5">
        <v>96</v>
      </c>
      <c r="O5" s="8">
        <v>134.19999999999999</v>
      </c>
      <c r="P5" s="5">
        <v>232</v>
      </c>
      <c r="Q5" s="5"/>
      <c r="R5" s="5"/>
      <c r="S5" s="5"/>
    </row>
    <row r="6" spans="1:19" x14ac:dyDescent="0.2">
      <c r="A6" s="5">
        <f t="shared" si="0"/>
        <v>5</v>
      </c>
      <c r="B6" s="8">
        <v>25</v>
      </c>
      <c r="C6" s="8">
        <v>62</v>
      </c>
      <c r="D6" s="8">
        <v>163</v>
      </c>
      <c r="E6" s="8">
        <v>23.3</v>
      </c>
      <c r="F6" s="8">
        <v>82.5</v>
      </c>
      <c r="G6" s="8">
        <v>106</v>
      </c>
      <c r="H6" s="8">
        <v>61</v>
      </c>
      <c r="I6" s="8">
        <v>215</v>
      </c>
      <c r="J6" s="5">
        <v>374</v>
      </c>
      <c r="K6" s="8">
        <v>130</v>
      </c>
      <c r="L6" s="5">
        <v>350</v>
      </c>
      <c r="M6" s="8">
        <v>52.6</v>
      </c>
      <c r="N6" s="5">
        <v>53</v>
      </c>
      <c r="O6" s="8">
        <v>136.4</v>
      </c>
      <c r="P6" s="5">
        <v>255</v>
      </c>
      <c r="Q6" s="5"/>
      <c r="R6" s="5"/>
      <c r="S6" s="5"/>
    </row>
    <row r="7" spans="1:19" x14ac:dyDescent="0.2">
      <c r="A7" s="5">
        <f t="shared" si="0"/>
        <v>6</v>
      </c>
      <c r="B7" s="8">
        <v>34</v>
      </c>
      <c r="C7" s="8">
        <v>81</v>
      </c>
      <c r="D7" s="8">
        <v>170</v>
      </c>
      <c r="E7" s="8">
        <v>28</v>
      </c>
      <c r="F7" s="8">
        <v>84.4</v>
      </c>
      <c r="G7" s="8">
        <v>125</v>
      </c>
      <c r="H7" s="8">
        <v>79</v>
      </c>
      <c r="I7" s="8">
        <v>199</v>
      </c>
      <c r="J7" s="5">
        <v>355</v>
      </c>
      <c r="K7" s="8">
        <v>107.3</v>
      </c>
      <c r="L7" s="5">
        <v>311</v>
      </c>
      <c r="M7" s="8">
        <v>54.4</v>
      </c>
      <c r="N7" s="5">
        <v>72</v>
      </c>
      <c r="O7" s="8">
        <v>123.1</v>
      </c>
      <c r="P7" s="5">
        <v>220</v>
      </c>
      <c r="Q7" s="5"/>
      <c r="R7" s="5"/>
      <c r="S7" s="5"/>
    </row>
    <row r="8" spans="1:19" x14ac:dyDescent="0.2">
      <c r="A8" s="5">
        <f t="shared" si="0"/>
        <v>7</v>
      </c>
      <c r="B8" s="8">
        <v>35</v>
      </c>
      <c r="C8" s="8">
        <v>71</v>
      </c>
      <c r="D8" s="8">
        <v>164</v>
      </c>
      <c r="E8" s="8">
        <v>26.4</v>
      </c>
      <c r="F8" s="8">
        <v>76.900000000000006</v>
      </c>
      <c r="G8" s="8">
        <v>94</v>
      </c>
      <c r="H8" s="8">
        <v>54</v>
      </c>
      <c r="I8" s="8">
        <v>230</v>
      </c>
      <c r="J8" s="5">
        <v>342</v>
      </c>
      <c r="K8" s="8">
        <v>149.6</v>
      </c>
      <c r="L8" s="5">
        <v>184</v>
      </c>
      <c r="M8" s="8">
        <v>86.7</v>
      </c>
      <c r="N8" s="5">
        <v>131</v>
      </c>
      <c r="O8" s="8">
        <v>113.4</v>
      </c>
      <c r="P8" s="5">
        <v>174</v>
      </c>
      <c r="Q8" s="5"/>
      <c r="R8" s="5"/>
      <c r="S8" s="5"/>
    </row>
    <row r="9" spans="1:19" x14ac:dyDescent="0.2">
      <c r="A9" s="5">
        <f t="shared" si="0"/>
        <v>8</v>
      </c>
      <c r="B9" s="8">
        <v>29</v>
      </c>
      <c r="C9" s="8">
        <v>53</v>
      </c>
      <c r="D9" s="8">
        <v>167</v>
      </c>
      <c r="E9" s="8">
        <v>19</v>
      </c>
      <c r="F9" s="8">
        <v>69.599999999999994</v>
      </c>
      <c r="G9" s="8">
        <v>135</v>
      </c>
      <c r="H9" s="8">
        <v>99</v>
      </c>
      <c r="I9" s="8">
        <v>154</v>
      </c>
      <c r="J9" s="5">
        <v>331</v>
      </c>
      <c r="K9" s="8">
        <v>63</v>
      </c>
      <c r="L9" s="5">
        <v>232</v>
      </c>
      <c r="M9" s="8">
        <v>67.599999999999994</v>
      </c>
      <c r="N9" s="17">
        <f>-P7116</f>
        <v>0</v>
      </c>
      <c r="O9" s="8">
        <v>73.8</v>
      </c>
      <c r="P9" s="5">
        <v>81</v>
      </c>
      <c r="Q9" s="5"/>
      <c r="R9" s="5"/>
      <c r="S9" s="5"/>
    </row>
    <row r="10" spans="1:19" x14ac:dyDescent="0.2">
      <c r="A10" s="5">
        <f t="shared" si="0"/>
        <v>9</v>
      </c>
      <c r="B10" s="8">
        <v>31</v>
      </c>
      <c r="C10" s="8">
        <v>65</v>
      </c>
      <c r="D10" s="8">
        <v>173</v>
      </c>
      <c r="E10" s="8">
        <v>21.7</v>
      </c>
      <c r="F10" s="8">
        <v>73.5</v>
      </c>
      <c r="G10" s="8">
        <v>110</v>
      </c>
      <c r="H10" s="8">
        <v>74</v>
      </c>
      <c r="I10" s="8">
        <v>195</v>
      </c>
      <c r="J10" s="5">
        <v>327</v>
      </c>
      <c r="K10" s="8">
        <v>60</v>
      </c>
      <c r="L10" s="5">
        <v>214</v>
      </c>
      <c r="M10" s="8">
        <v>55.5</v>
      </c>
      <c r="N10" s="5">
        <v>82</v>
      </c>
      <c r="O10" s="8">
        <v>127.5</v>
      </c>
      <c r="P10" s="5">
        <v>201</v>
      </c>
      <c r="Q10" s="5"/>
      <c r="R10" s="5"/>
      <c r="S10" s="5"/>
    </row>
    <row r="11" spans="1:19" x14ac:dyDescent="0.2">
      <c r="A11" s="5">
        <f t="shared" si="0"/>
        <v>10</v>
      </c>
      <c r="B11" s="8">
        <v>32</v>
      </c>
      <c r="C11" s="8">
        <v>59</v>
      </c>
      <c r="D11" s="8">
        <v>153</v>
      </c>
      <c r="E11" s="8">
        <v>25.2</v>
      </c>
      <c r="F11" s="8">
        <v>79.400000000000006</v>
      </c>
      <c r="G11" s="8">
        <v>119</v>
      </c>
      <c r="H11" s="8">
        <v>78</v>
      </c>
      <c r="I11" s="8">
        <v>192</v>
      </c>
      <c r="J11" s="5">
        <v>326</v>
      </c>
      <c r="K11" s="8">
        <v>109</v>
      </c>
      <c r="L11" s="5">
        <v>319</v>
      </c>
      <c r="M11" s="8">
        <v>70.5</v>
      </c>
      <c r="N11" s="5">
        <v>75</v>
      </c>
      <c r="O11" s="8">
        <v>99.7</v>
      </c>
      <c r="P11" s="5">
        <v>187</v>
      </c>
      <c r="Q11" s="5"/>
      <c r="R11" s="5"/>
      <c r="S11" s="5"/>
    </row>
    <row r="12" spans="1:19" x14ac:dyDescent="0.2">
      <c r="A12" s="5">
        <f t="shared" si="0"/>
        <v>11</v>
      </c>
      <c r="B12" s="8">
        <v>29</v>
      </c>
      <c r="C12" s="8">
        <v>54</v>
      </c>
      <c r="D12" s="8">
        <v>162</v>
      </c>
      <c r="E12" s="8">
        <v>20.6</v>
      </c>
      <c r="F12" s="8">
        <v>80.099999999999994</v>
      </c>
      <c r="G12" s="8">
        <v>89</v>
      </c>
      <c r="H12" s="8">
        <v>60</v>
      </c>
      <c r="I12" s="8">
        <v>197</v>
      </c>
      <c r="J12" s="5">
        <v>323</v>
      </c>
      <c r="K12" s="8">
        <v>86</v>
      </c>
      <c r="L12" s="5">
        <v>366</v>
      </c>
      <c r="M12" s="8">
        <v>49.8</v>
      </c>
      <c r="N12" s="5">
        <v>42</v>
      </c>
      <c r="O12" s="8">
        <v>130</v>
      </c>
      <c r="P12" s="5">
        <v>207</v>
      </c>
      <c r="Q12" s="5"/>
      <c r="R12" s="5"/>
      <c r="S12" s="5"/>
    </row>
    <row r="13" spans="1:19" x14ac:dyDescent="0.2">
      <c r="A13" s="5">
        <f t="shared" si="0"/>
        <v>12</v>
      </c>
      <c r="B13" s="8">
        <v>29</v>
      </c>
      <c r="C13" s="8">
        <v>61</v>
      </c>
      <c r="D13" s="8">
        <v>168</v>
      </c>
      <c r="E13" s="8">
        <v>21.6</v>
      </c>
      <c r="F13" s="8">
        <v>76.599999999999994</v>
      </c>
      <c r="G13" s="8">
        <v>110</v>
      </c>
      <c r="H13" s="8">
        <v>66</v>
      </c>
      <c r="I13" s="8">
        <v>199</v>
      </c>
      <c r="J13" s="5">
        <v>319</v>
      </c>
      <c r="K13" s="8">
        <v>74</v>
      </c>
      <c r="L13" s="5">
        <v>269</v>
      </c>
      <c r="M13" s="8">
        <v>64.900000000000006</v>
      </c>
      <c r="N13" s="5">
        <v>67</v>
      </c>
      <c r="O13" s="8">
        <v>119.3</v>
      </c>
      <c r="P13" s="5">
        <v>197</v>
      </c>
      <c r="Q13" s="5"/>
      <c r="R13" s="5"/>
      <c r="S13" s="5"/>
    </row>
    <row r="14" spans="1:19" x14ac:dyDescent="0.2">
      <c r="A14" s="5">
        <f t="shared" si="0"/>
        <v>13</v>
      </c>
      <c r="B14" s="8">
        <v>31</v>
      </c>
      <c r="C14" s="8">
        <v>58</v>
      </c>
      <c r="D14" s="8">
        <v>154</v>
      </c>
      <c r="E14" s="8">
        <v>24.5</v>
      </c>
      <c r="F14" s="8">
        <v>81.8</v>
      </c>
      <c r="G14" s="8">
        <v>119</v>
      </c>
      <c r="H14" s="8">
        <v>73</v>
      </c>
      <c r="I14" s="8">
        <v>187</v>
      </c>
      <c r="J14" s="5">
        <v>318</v>
      </c>
      <c r="K14" s="8">
        <v>55</v>
      </c>
      <c r="L14" s="5">
        <v>362</v>
      </c>
      <c r="M14" s="8">
        <v>42.9</v>
      </c>
      <c r="N14" s="5">
        <v>55</v>
      </c>
      <c r="O14" s="8">
        <v>133.1</v>
      </c>
      <c r="P14" s="5">
        <v>189</v>
      </c>
      <c r="Q14" s="5"/>
      <c r="R14" s="5"/>
      <c r="S14" s="5"/>
    </row>
    <row r="15" spans="1:19" x14ac:dyDescent="0.2">
      <c r="A15" s="5">
        <f t="shared" si="0"/>
        <v>14</v>
      </c>
      <c r="B15" s="8">
        <v>37</v>
      </c>
      <c r="C15" s="8">
        <v>49</v>
      </c>
      <c r="D15" s="8">
        <v>163</v>
      </c>
      <c r="E15" s="8">
        <v>18.8</v>
      </c>
      <c r="F15" s="8">
        <v>77</v>
      </c>
      <c r="G15" s="8">
        <v>100</v>
      </c>
      <c r="H15" s="8">
        <v>48</v>
      </c>
      <c r="I15" s="8">
        <v>197</v>
      </c>
      <c r="J15" s="5">
        <v>318</v>
      </c>
      <c r="K15" s="8">
        <v>98.7</v>
      </c>
      <c r="L15" s="5">
        <v>256</v>
      </c>
      <c r="M15" s="8">
        <v>81.099999999999994</v>
      </c>
      <c r="N15" s="5">
        <v>62</v>
      </c>
      <c r="O15" s="8">
        <v>86</v>
      </c>
      <c r="P15" s="5">
        <v>203</v>
      </c>
      <c r="Q15" s="5"/>
      <c r="R15" s="5"/>
      <c r="S15" s="5"/>
    </row>
    <row r="16" spans="1:19" x14ac:dyDescent="0.2">
      <c r="A16" s="5">
        <f t="shared" si="0"/>
        <v>15</v>
      </c>
      <c r="B16" s="8">
        <v>30</v>
      </c>
      <c r="C16" s="8">
        <v>60</v>
      </c>
      <c r="D16" s="8">
        <v>172</v>
      </c>
      <c r="E16" s="8">
        <v>20.3</v>
      </c>
      <c r="F16" s="8">
        <v>69.8</v>
      </c>
      <c r="G16" s="8">
        <v>107</v>
      </c>
      <c r="H16" s="8">
        <v>72</v>
      </c>
      <c r="I16" s="8">
        <v>196</v>
      </c>
      <c r="J16" s="5">
        <v>314</v>
      </c>
      <c r="K16" s="8">
        <v>93</v>
      </c>
      <c r="L16" s="5">
        <v>308</v>
      </c>
      <c r="M16" s="8">
        <v>59</v>
      </c>
      <c r="N16" s="5">
        <v>62</v>
      </c>
      <c r="O16" s="8">
        <v>118.4</v>
      </c>
      <c r="P16" s="5">
        <v>190</v>
      </c>
      <c r="Q16" s="5"/>
      <c r="R16" s="5"/>
      <c r="S16" s="5"/>
    </row>
    <row r="17" spans="1:19" x14ac:dyDescent="0.2">
      <c r="A17" s="5">
        <f t="shared" si="0"/>
        <v>16</v>
      </c>
      <c r="B17" s="8">
        <v>31</v>
      </c>
      <c r="C17" s="8">
        <v>49</v>
      </c>
      <c r="D17" s="8">
        <v>155</v>
      </c>
      <c r="E17" s="8">
        <v>20.399999999999999</v>
      </c>
      <c r="F17" s="8">
        <v>70</v>
      </c>
      <c r="G17" s="8">
        <v>95</v>
      </c>
      <c r="H17" s="8">
        <v>58</v>
      </c>
      <c r="I17" s="8">
        <v>221</v>
      </c>
      <c r="J17" s="5">
        <v>311</v>
      </c>
      <c r="K17" s="8">
        <v>106.2</v>
      </c>
      <c r="L17" s="5">
        <v>274</v>
      </c>
      <c r="M17" s="8">
        <v>88.2</v>
      </c>
      <c r="N17" s="5">
        <v>97</v>
      </c>
      <c r="O17" s="8">
        <v>133</v>
      </c>
      <c r="P17" s="5">
        <v>159</v>
      </c>
      <c r="Q17" s="5"/>
      <c r="R17" s="5"/>
      <c r="S17" s="5"/>
    </row>
    <row r="18" spans="1:19" x14ac:dyDescent="0.2">
      <c r="A18" s="5">
        <f t="shared" si="0"/>
        <v>17</v>
      </c>
      <c r="B18" s="8">
        <v>29</v>
      </c>
      <c r="C18" s="8">
        <v>89</v>
      </c>
      <c r="D18" s="8">
        <v>176</v>
      </c>
      <c r="E18" s="8">
        <v>28.7</v>
      </c>
      <c r="F18" s="8">
        <v>79.7</v>
      </c>
      <c r="G18" s="8">
        <v>126</v>
      </c>
      <c r="H18" s="8">
        <v>74</v>
      </c>
      <c r="I18" s="8">
        <v>215</v>
      </c>
      <c r="J18" s="5">
        <v>309</v>
      </c>
      <c r="K18" s="8">
        <v>108</v>
      </c>
      <c r="L18" s="5">
        <v>250</v>
      </c>
      <c r="M18" s="8">
        <v>76.099999999999994</v>
      </c>
      <c r="N18" s="5">
        <v>77</v>
      </c>
      <c r="O18" s="8">
        <v>117.3</v>
      </c>
      <c r="P18" s="5">
        <v>181</v>
      </c>
      <c r="Q18" s="5"/>
      <c r="R18" s="5"/>
      <c r="S18" s="5"/>
    </row>
    <row r="19" spans="1:19" x14ac:dyDescent="0.2">
      <c r="A19" s="5">
        <f t="shared" si="0"/>
        <v>18</v>
      </c>
      <c r="B19" s="8">
        <v>31</v>
      </c>
      <c r="C19" s="8">
        <v>57</v>
      </c>
      <c r="D19" s="8">
        <v>160</v>
      </c>
      <c r="E19" s="8">
        <v>22.3</v>
      </c>
      <c r="F19" s="8">
        <v>72.3</v>
      </c>
      <c r="G19" s="8">
        <v>113</v>
      </c>
      <c r="H19" s="8">
        <v>63</v>
      </c>
      <c r="I19" s="8">
        <v>194</v>
      </c>
      <c r="J19" s="5">
        <v>309</v>
      </c>
      <c r="K19" s="8">
        <v>100</v>
      </c>
      <c r="L19" s="5">
        <v>366</v>
      </c>
      <c r="M19" s="8">
        <v>61.3</v>
      </c>
      <c r="N19" s="5">
        <v>58</v>
      </c>
      <c r="O19" s="8">
        <v>112.7</v>
      </c>
      <c r="P19" s="5">
        <v>177</v>
      </c>
      <c r="Q19" s="5"/>
      <c r="R19" s="5"/>
      <c r="S19" s="5"/>
    </row>
    <row r="20" spans="1:19" x14ac:dyDescent="0.2">
      <c r="A20" s="5">
        <f t="shared" si="0"/>
        <v>19</v>
      </c>
      <c r="B20" s="8">
        <v>37</v>
      </c>
      <c r="C20" s="8">
        <v>50</v>
      </c>
      <c r="D20" s="8">
        <v>150</v>
      </c>
      <c r="E20" s="8">
        <v>22.2</v>
      </c>
      <c r="F20" s="8">
        <v>80.599999999999994</v>
      </c>
      <c r="G20" s="8">
        <v>111</v>
      </c>
      <c r="H20" s="8">
        <v>68</v>
      </c>
      <c r="I20" s="19">
        <v>259</v>
      </c>
      <c r="J20" s="5">
        <v>306</v>
      </c>
      <c r="K20" s="8">
        <v>105</v>
      </c>
      <c r="L20" s="5">
        <v>329</v>
      </c>
      <c r="M20" s="8">
        <v>72.3</v>
      </c>
      <c r="N20" s="5">
        <v>46</v>
      </c>
      <c r="O20" s="8">
        <v>165.7</v>
      </c>
      <c r="P20" s="5">
        <v>195</v>
      </c>
      <c r="Q20" s="5"/>
      <c r="R20" s="5"/>
      <c r="S20" s="5"/>
    </row>
    <row r="21" spans="1:19" x14ac:dyDescent="0.2">
      <c r="A21" s="5">
        <f t="shared" si="0"/>
        <v>20</v>
      </c>
      <c r="B21" s="8">
        <v>33</v>
      </c>
      <c r="C21" s="8">
        <v>67</v>
      </c>
      <c r="D21" s="8">
        <v>170</v>
      </c>
      <c r="E21" s="8">
        <v>23.2</v>
      </c>
      <c r="F21" s="8">
        <v>68.7</v>
      </c>
      <c r="G21" s="8">
        <v>110</v>
      </c>
      <c r="H21" s="8">
        <v>75</v>
      </c>
      <c r="I21" s="8">
        <v>178</v>
      </c>
      <c r="J21" s="5">
        <v>304</v>
      </c>
      <c r="K21" s="8">
        <v>60.9</v>
      </c>
      <c r="L21" s="5">
        <v>376</v>
      </c>
      <c r="M21" s="8">
        <v>100.2</v>
      </c>
      <c r="N21" s="5">
        <v>91</v>
      </c>
      <c r="O21" s="8">
        <v>65.599999999999994</v>
      </c>
      <c r="P21" s="5">
        <v>137</v>
      </c>
      <c r="Q21" s="5"/>
      <c r="R21" s="5"/>
      <c r="S21" s="5"/>
    </row>
    <row r="22" spans="1:19" x14ac:dyDescent="0.2">
      <c r="A22" s="5">
        <f t="shared" si="0"/>
        <v>21</v>
      </c>
      <c r="B22" s="8">
        <v>38</v>
      </c>
      <c r="C22" s="8">
        <v>60</v>
      </c>
      <c r="D22" s="8">
        <v>157</v>
      </c>
      <c r="E22" s="8">
        <v>24.3</v>
      </c>
      <c r="F22" s="8">
        <v>84.4</v>
      </c>
      <c r="G22" s="8">
        <v>112</v>
      </c>
      <c r="H22" s="8">
        <v>46</v>
      </c>
      <c r="I22" s="8">
        <v>158</v>
      </c>
      <c r="J22" s="5">
        <v>302</v>
      </c>
      <c r="K22" s="8">
        <v>49.2</v>
      </c>
      <c r="L22" s="5">
        <v>192</v>
      </c>
      <c r="M22" s="8">
        <v>58.1</v>
      </c>
      <c r="N22" s="5">
        <v>75</v>
      </c>
      <c r="O22" s="8">
        <v>90.1</v>
      </c>
      <c r="P22" s="5">
        <v>188</v>
      </c>
      <c r="Q22" s="5"/>
      <c r="R22" s="5"/>
      <c r="S22" s="5"/>
    </row>
    <row r="23" spans="1:19" x14ac:dyDescent="0.2">
      <c r="A23" s="5">
        <f t="shared" si="0"/>
        <v>22</v>
      </c>
      <c r="B23" s="8">
        <v>33</v>
      </c>
      <c r="C23" s="8">
        <v>60</v>
      </c>
      <c r="D23" s="8">
        <v>155</v>
      </c>
      <c r="E23" s="8">
        <v>25</v>
      </c>
      <c r="F23" s="8">
        <v>73.5</v>
      </c>
      <c r="G23" s="8">
        <v>109</v>
      </c>
      <c r="H23" s="8">
        <v>68</v>
      </c>
      <c r="I23" s="8">
        <v>185</v>
      </c>
      <c r="J23" s="5">
        <v>301</v>
      </c>
      <c r="K23" s="8">
        <v>93.9</v>
      </c>
      <c r="L23" s="5">
        <v>288</v>
      </c>
      <c r="M23" s="8">
        <v>65.2</v>
      </c>
      <c r="N23" s="5">
        <v>86</v>
      </c>
      <c r="O23" s="8">
        <v>101</v>
      </c>
      <c r="P23" s="5">
        <v>156</v>
      </c>
      <c r="Q23" s="5"/>
      <c r="R23" s="5"/>
      <c r="S23" s="5"/>
    </row>
    <row r="24" spans="1:19" x14ac:dyDescent="0.2">
      <c r="A24" s="5">
        <f t="shared" si="0"/>
        <v>23</v>
      </c>
      <c r="B24" s="8">
        <v>24</v>
      </c>
      <c r="C24" s="8">
        <v>60</v>
      </c>
      <c r="D24" s="8">
        <v>168</v>
      </c>
      <c r="E24" s="8">
        <v>21.3</v>
      </c>
      <c r="F24" s="8">
        <v>84.4</v>
      </c>
      <c r="G24" s="8">
        <v>112</v>
      </c>
      <c r="H24" s="8">
        <v>76</v>
      </c>
      <c r="I24" s="8">
        <v>217</v>
      </c>
      <c r="J24" s="5">
        <v>298</v>
      </c>
      <c r="K24" s="8">
        <v>129</v>
      </c>
      <c r="L24" s="5">
        <v>404</v>
      </c>
      <c r="M24" s="8">
        <v>60.5</v>
      </c>
      <c r="N24" s="5">
        <v>62</v>
      </c>
      <c r="O24" s="8">
        <v>130.69999999999999</v>
      </c>
      <c r="P24" s="5">
        <v>155</v>
      </c>
      <c r="Q24" s="5"/>
      <c r="R24" s="5"/>
      <c r="S24" s="5"/>
    </row>
    <row r="25" spans="1:19" x14ac:dyDescent="0.2">
      <c r="A25" s="5">
        <f t="shared" si="0"/>
        <v>24</v>
      </c>
      <c r="B25" s="8">
        <v>37</v>
      </c>
      <c r="C25" s="8">
        <v>60</v>
      </c>
      <c r="D25" s="8">
        <v>170</v>
      </c>
      <c r="E25" s="8">
        <v>20.8</v>
      </c>
      <c r="F25" s="8">
        <v>81.3</v>
      </c>
      <c r="G25" s="8">
        <v>104</v>
      </c>
      <c r="H25" s="8">
        <v>54</v>
      </c>
      <c r="I25" s="8">
        <v>193</v>
      </c>
      <c r="J25" s="5">
        <v>296</v>
      </c>
      <c r="K25" s="8">
        <v>133</v>
      </c>
      <c r="L25" s="5">
        <v>189</v>
      </c>
      <c r="M25" s="8">
        <v>60.4</v>
      </c>
      <c r="N25" s="5">
        <v>71</v>
      </c>
      <c r="O25" s="8">
        <v>106</v>
      </c>
      <c r="P25" s="5">
        <v>187</v>
      </c>
      <c r="Q25" s="5"/>
      <c r="R25" s="5"/>
      <c r="S25" s="5"/>
    </row>
    <row r="26" spans="1:19" x14ac:dyDescent="0.2">
      <c r="A26" s="5">
        <f t="shared" si="0"/>
        <v>25</v>
      </c>
      <c r="B26" s="8">
        <v>29</v>
      </c>
      <c r="C26" s="8">
        <v>46</v>
      </c>
      <c r="D26" s="8">
        <v>156</v>
      </c>
      <c r="E26" s="8">
        <v>18.899999999999999</v>
      </c>
      <c r="F26" s="8">
        <v>81.5</v>
      </c>
      <c r="G26" s="8">
        <v>113</v>
      </c>
      <c r="H26" s="8">
        <v>56</v>
      </c>
      <c r="I26" s="8">
        <v>172</v>
      </c>
      <c r="J26" s="5">
        <v>296</v>
      </c>
      <c r="K26" s="8">
        <v>66</v>
      </c>
      <c r="L26" s="5">
        <v>244</v>
      </c>
      <c r="M26" s="8">
        <v>60.3</v>
      </c>
      <c r="N26" s="5">
        <v>69</v>
      </c>
      <c r="O26" s="8">
        <v>98.5</v>
      </c>
      <c r="P26" s="5">
        <v>177</v>
      </c>
      <c r="Q26" s="5"/>
      <c r="R26" s="5"/>
      <c r="S26" s="5"/>
    </row>
    <row r="27" spans="1:19" x14ac:dyDescent="0.2">
      <c r="A27" s="5">
        <f t="shared" si="0"/>
        <v>26</v>
      </c>
      <c r="B27" s="8">
        <v>33</v>
      </c>
      <c r="C27" s="8">
        <v>74</v>
      </c>
      <c r="D27" s="8">
        <v>178</v>
      </c>
      <c r="E27" s="8">
        <v>23.3</v>
      </c>
      <c r="F27" s="8">
        <v>81.8</v>
      </c>
      <c r="G27" s="8">
        <v>112</v>
      </c>
      <c r="H27" s="8">
        <v>63</v>
      </c>
      <c r="I27" s="8">
        <v>192</v>
      </c>
      <c r="J27" s="5">
        <v>295</v>
      </c>
      <c r="K27" s="8">
        <v>73</v>
      </c>
      <c r="L27" s="5">
        <v>303</v>
      </c>
      <c r="M27" s="8">
        <v>62</v>
      </c>
      <c r="N27" s="5">
        <v>85</v>
      </c>
      <c r="O27" s="8">
        <v>115.4</v>
      </c>
      <c r="P27" s="5">
        <v>149</v>
      </c>
      <c r="Q27" s="5"/>
      <c r="R27" s="5"/>
      <c r="S27" s="5"/>
    </row>
    <row r="28" spans="1:19" x14ac:dyDescent="0.2">
      <c r="A28" s="5">
        <f t="shared" si="0"/>
        <v>27</v>
      </c>
      <c r="B28" s="8">
        <v>35</v>
      </c>
      <c r="C28" s="8">
        <v>58</v>
      </c>
      <c r="D28" s="8">
        <v>163</v>
      </c>
      <c r="E28" s="8">
        <v>21.8</v>
      </c>
      <c r="F28" s="8">
        <v>75.400000000000006</v>
      </c>
      <c r="G28" s="8">
        <v>112</v>
      </c>
      <c r="H28" s="8">
        <v>73</v>
      </c>
      <c r="I28" s="8">
        <v>212</v>
      </c>
      <c r="J28" s="5">
        <v>292</v>
      </c>
      <c r="K28" s="8">
        <v>56</v>
      </c>
      <c r="L28" s="5">
        <v>213</v>
      </c>
      <c r="M28" s="8">
        <v>64.400000000000006</v>
      </c>
      <c r="N28" s="5">
        <v>61</v>
      </c>
      <c r="O28" s="8">
        <v>136.4</v>
      </c>
      <c r="P28" s="5">
        <v>82</v>
      </c>
      <c r="Q28" s="5"/>
      <c r="R28" s="5"/>
      <c r="S28" s="5"/>
    </row>
    <row r="29" spans="1:19" x14ac:dyDescent="0.2">
      <c r="A29" s="5">
        <f t="shared" si="0"/>
        <v>28</v>
      </c>
      <c r="B29" s="8">
        <v>33</v>
      </c>
      <c r="C29" s="8">
        <v>55</v>
      </c>
      <c r="D29" s="8">
        <v>171</v>
      </c>
      <c r="E29" s="8">
        <v>18.8</v>
      </c>
      <c r="F29" s="8">
        <v>74.5</v>
      </c>
      <c r="G29" s="8">
        <v>110</v>
      </c>
      <c r="H29" s="8">
        <v>72</v>
      </c>
      <c r="I29" s="8">
        <v>172</v>
      </c>
      <c r="J29" s="5">
        <v>292</v>
      </c>
      <c r="K29" s="8">
        <v>73</v>
      </c>
      <c r="L29" s="5">
        <v>209</v>
      </c>
      <c r="M29" s="8">
        <v>77.400000000000006</v>
      </c>
      <c r="N29" s="5">
        <v>100</v>
      </c>
      <c r="O29" s="8">
        <v>80</v>
      </c>
      <c r="P29" s="5">
        <v>150</v>
      </c>
      <c r="Q29" s="5"/>
      <c r="R29" s="5"/>
      <c r="S29" s="5"/>
    </row>
    <row r="30" spans="1:19" x14ac:dyDescent="0.2">
      <c r="A30" s="5">
        <f t="shared" si="0"/>
        <v>29</v>
      </c>
      <c r="B30" s="8">
        <v>30</v>
      </c>
      <c r="C30" s="8">
        <v>60</v>
      </c>
      <c r="D30" s="8">
        <v>165</v>
      </c>
      <c r="E30" s="8">
        <v>22</v>
      </c>
      <c r="F30" s="8">
        <v>82.3</v>
      </c>
      <c r="G30" s="8">
        <v>124</v>
      </c>
      <c r="H30" s="8">
        <v>68</v>
      </c>
      <c r="I30" s="8">
        <v>189</v>
      </c>
      <c r="J30" s="5">
        <v>291</v>
      </c>
      <c r="K30" s="8">
        <v>77</v>
      </c>
      <c r="L30" s="5">
        <v>174</v>
      </c>
      <c r="M30" s="8">
        <v>53.1</v>
      </c>
      <c r="N30" s="5">
        <v>61</v>
      </c>
      <c r="O30" s="8">
        <v>120.5</v>
      </c>
      <c r="P30" s="5">
        <v>195</v>
      </c>
      <c r="Q30" s="5"/>
      <c r="R30" s="5"/>
      <c r="S30" s="5"/>
    </row>
    <row r="31" spans="1:19" x14ac:dyDescent="0.2">
      <c r="A31" s="5">
        <f t="shared" si="0"/>
        <v>30</v>
      </c>
      <c r="B31" s="8">
        <v>33</v>
      </c>
      <c r="C31" s="8">
        <v>55</v>
      </c>
      <c r="D31" s="8">
        <v>162</v>
      </c>
      <c r="E31" s="8">
        <v>21</v>
      </c>
      <c r="F31" s="8">
        <v>79.099999999999994</v>
      </c>
      <c r="G31" s="8">
        <v>95</v>
      </c>
      <c r="H31" s="8">
        <v>57</v>
      </c>
      <c r="I31" s="8">
        <v>206</v>
      </c>
      <c r="J31" s="5">
        <v>290</v>
      </c>
      <c r="K31" s="8">
        <v>144</v>
      </c>
      <c r="L31" s="5">
        <v>276</v>
      </c>
      <c r="M31" s="8">
        <v>63.1</v>
      </c>
      <c r="N31" s="5">
        <v>57</v>
      </c>
      <c r="O31" s="8">
        <v>114.1</v>
      </c>
      <c r="P31" s="5">
        <v>178</v>
      </c>
      <c r="Q31" s="5"/>
      <c r="R31" s="5"/>
      <c r="S31" s="5"/>
    </row>
    <row r="32" spans="1:19" x14ac:dyDescent="0.2">
      <c r="A32" s="5">
        <f t="shared" si="0"/>
        <v>31</v>
      </c>
      <c r="B32" s="8">
        <v>33</v>
      </c>
      <c r="C32" s="8">
        <v>60</v>
      </c>
      <c r="D32" s="8">
        <v>163</v>
      </c>
      <c r="E32" s="8">
        <v>22.6</v>
      </c>
      <c r="F32" s="8">
        <v>77.3</v>
      </c>
      <c r="G32" s="8">
        <v>103</v>
      </c>
      <c r="H32" s="8">
        <v>62</v>
      </c>
      <c r="I32" s="8">
        <v>220</v>
      </c>
      <c r="J32" s="5">
        <v>289</v>
      </c>
      <c r="K32" s="8">
        <v>83</v>
      </c>
      <c r="L32" s="5">
        <v>223</v>
      </c>
      <c r="M32" s="8">
        <v>73.5</v>
      </c>
      <c r="N32" s="5">
        <v>69</v>
      </c>
      <c r="O32" s="8">
        <v>129.9</v>
      </c>
      <c r="P32" s="5">
        <v>174</v>
      </c>
      <c r="Q32" s="5"/>
      <c r="R32" s="5"/>
      <c r="S32" s="5"/>
    </row>
    <row r="33" spans="1:19" x14ac:dyDescent="0.2">
      <c r="A33" s="5">
        <f t="shared" si="0"/>
        <v>32</v>
      </c>
      <c r="B33" s="8">
        <v>31</v>
      </c>
      <c r="C33" s="8">
        <v>55</v>
      </c>
      <c r="D33" s="8">
        <v>160</v>
      </c>
      <c r="E33" s="8">
        <v>21.5</v>
      </c>
      <c r="F33" s="8">
        <v>73.7</v>
      </c>
      <c r="G33" s="8">
        <v>101</v>
      </c>
      <c r="H33" s="8">
        <v>59</v>
      </c>
      <c r="I33" s="8">
        <v>188</v>
      </c>
      <c r="J33" s="5">
        <v>289</v>
      </c>
      <c r="K33" s="8">
        <v>61</v>
      </c>
      <c r="L33" s="5">
        <v>221</v>
      </c>
      <c r="M33" s="8">
        <v>68.5</v>
      </c>
      <c r="N33" s="5">
        <v>66</v>
      </c>
      <c r="O33" s="8">
        <v>107.3</v>
      </c>
      <c r="P33" s="5">
        <v>178</v>
      </c>
      <c r="Q33" s="5"/>
      <c r="R33" s="5"/>
      <c r="S33" s="5"/>
    </row>
    <row r="34" spans="1:19" x14ac:dyDescent="0.2">
      <c r="A34" s="5">
        <f t="shared" si="0"/>
        <v>33</v>
      </c>
      <c r="B34" s="8">
        <v>35</v>
      </c>
      <c r="C34" s="8">
        <v>59</v>
      </c>
      <c r="D34" s="8">
        <v>172</v>
      </c>
      <c r="E34" s="8">
        <v>19.899999999999999</v>
      </c>
      <c r="F34" s="8">
        <v>90.5</v>
      </c>
      <c r="G34" s="8">
        <v>104</v>
      </c>
      <c r="H34" s="8">
        <v>62</v>
      </c>
      <c r="I34" s="8">
        <v>222</v>
      </c>
      <c r="J34" s="5">
        <v>288</v>
      </c>
      <c r="K34" s="8">
        <v>117</v>
      </c>
      <c r="L34" s="5">
        <v>213</v>
      </c>
      <c r="M34" s="8">
        <v>53.7</v>
      </c>
      <c r="N34" s="5">
        <v>60</v>
      </c>
      <c r="O34" s="8">
        <v>144.9</v>
      </c>
      <c r="P34" s="5">
        <v>185</v>
      </c>
      <c r="Q34" s="5"/>
      <c r="R34" s="5"/>
      <c r="S34" s="5"/>
    </row>
    <row r="35" spans="1:19" x14ac:dyDescent="0.2">
      <c r="A35" s="5">
        <f t="shared" si="0"/>
        <v>34</v>
      </c>
      <c r="B35" s="8">
        <v>33</v>
      </c>
      <c r="C35" s="8">
        <v>59</v>
      </c>
      <c r="D35" s="8">
        <v>162</v>
      </c>
      <c r="E35" s="8">
        <v>22.5</v>
      </c>
      <c r="F35" s="8">
        <v>80.3</v>
      </c>
      <c r="G35" s="8">
        <v>99</v>
      </c>
      <c r="H35" s="8">
        <v>51</v>
      </c>
      <c r="I35" s="8">
        <v>176</v>
      </c>
      <c r="J35" s="5">
        <v>288</v>
      </c>
      <c r="K35" s="8">
        <v>76.400000000000006</v>
      </c>
      <c r="L35" s="5">
        <v>312</v>
      </c>
      <c r="M35" s="8">
        <v>72.400000000000006</v>
      </c>
      <c r="N35" s="5">
        <v>77</v>
      </c>
      <c r="O35" s="8">
        <v>88.3</v>
      </c>
      <c r="P35" s="5">
        <v>148</v>
      </c>
      <c r="Q35" s="5"/>
      <c r="R35" s="5"/>
      <c r="S35" s="5"/>
    </row>
    <row r="36" spans="1:19" x14ac:dyDescent="0.2">
      <c r="A36" s="5">
        <f t="shared" si="0"/>
        <v>35</v>
      </c>
      <c r="B36" s="19">
        <v>36</v>
      </c>
      <c r="C36" s="19">
        <v>55</v>
      </c>
      <c r="D36" s="19">
        <v>165</v>
      </c>
      <c r="E36" s="19">
        <v>20.2</v>
      </c>
      <c r="F36" s="19">
        <v>81</v>
      </c>
      <c r="G36" s="19">
        <v>97</v>
      </c>
      <c r="H36" s="19">
        <v>58</v>
      </c>
      <c r="I36" s="19">
        <v>199</v>
      </c>
      <c r="J36" s="20">
        <v>285</v>
      </c>
      <c r="K36" s="19">
        <v>110</v>
      </c>
      <c r="L36" s="20">
        <v>209</v>
      </c>
      <c r="M36" s="19">
        <v>67</v>
      </c>
      <c r="N36" s="20">
        <v>89</v>
      </c>
      <c r="O36" s="19">
        <v>110</v>
      </c>
      <c r="P36" s="20">
        <v>153</v>
      </c>
      <c r="Q36" s="5"/>
      <c r="R36" s="5"/>
      <c r="S36" s="5"/>
    </row>
    <row r="37" spans="1:19" x14ac:dyDescent="0.2">
      <c r="A37" s="5">
        <f t="shared" si="0"/>
        <v>36</v>
      </c>
      <c r="B37" s="19">
        <v>29</v>
      </c>
      <c r="C37" s="19">
        <v>52</v>
      </c>
      <c r="D37" s="19">
        <v>156</v>
      </c>
      <c r="E37" s="19">
        <v>21.4</v>
      </c>
      <c r="F37" s="19">
        <v>79.599999999999994</v>
      </c>
      <c r="G37" s="19">
        <v>100</v>
      </c>
      <c r="H37" s="19">
        <v>57</v>
      </c>
      <c r="I37" s="19">
        <v>181</v>
      </c>
      <c r="J37" s="20">
        <v>285</v>
      </c>
      <c r="K37" s="19">
        <v>36</v>
      </c>
      <c r="L37" s="20">
        <v>199</v>
      </c>
      <c r="M37" s="19">
        <v>71</v>
      </c>
      <c r="N37" s="20">
        <v>59</v>
      </c>
      <c r="O37" s="19">
        <v>102.8</v>
      </c>
      <c r="P37" s="20">
        <v>186</v>
      </c>
      <c r="Q37" s="5"/>
      <c r="R37" s="5"/>
      <c r="S37" s="5"/>
    </row>
    <row r="38" spans="1:19" x14ac:dyDescent="0.2">
      <c r="A38" s="5">
        <f t="shared" si="0"/>
        <v>37</v>
      </c>
      <c r="B38" s="29">
        <v>35</v>
      </c>
      <c r="C38" s="29">
        <v>55</v>
      </c>
      <c r="D38" s="29">
        <v>160</v>
      </c>
      <c r="E38" s="29">
        <v>21.4</v>
      </c>
      <c r="F38" s="29">
        <v>83.1</v>
      </c>
      <c r="G38" s="29">
        <v>94</v>
      </c>
      <c r="H38" s="29">
        <v>64</v>
      </c>
      <c r="I38" s="29">
        <v>179</v>
      </c>
      <c r="J38" s="20">
        <v>284</v>
      </c>
      <c r="K38" s="29">
        <v>117</v>
      </c>
      <c r="L38" s="20">
        <v>357</v>
      </c>
      <c r="M38" s="29">
        <v>44.5</v>
      </c>
      <c r="N38" s="20">
        <v>59</v>
      </c>
      <c r="O38" s="29">
        <v>111.1</v>
      </c>
      <c r="P38" s="20">
        <v>153</v>
      </c>
      <c r="Q38" s="5"/>
      <c r="R38" s="5"/>
      <c r="S38" s="5"/>
    </row>
    <row r="39" spans="1:19" x14ac:dyDescent="0.2">
      <c r="A39" s="5">
        <f t="shared" si="0"/>
        <v>38</v>
      </c>
      <c r="B39" s="19">
        <v>31</v>
      </c>
      <c r="C39" s="19">
        <v>57</v>
      </c>
      <c r="D39" s="19">
        <v>164</v>
      </c>
      <c r="E39" s="19">
        <v>21.2</v>
      </c>
      <c r="F39" s="19">
        <v>76.099999999999994</v>
      </c>
      <c r="G39" s="19">
        <v>107</v>
      </c>
      <c r="H39" s="19">
        <v>55</v>
      </c>
      <c r="I39" s="19">
        <v>156</v>
      </c>
      <c r="J39" s="20">
        <v>283</v>
      </c>
      <c r="K39" s="19">
        <v>91</v>
      </c>
      <c r="L39" s="20">
        <v>312</v>
      </c>
      <c r="M39" s="19">
        <v>65.400000000000006</v>
      </c>
      <c r="N39" s="20">
        <v>80</v>
      </c>
      <c r="O39" s="19">
        <v>72.400000000000006</v>
      </c>
      <c r="P39" s="20">
        <v>139</v>
      </c>
      <c r="Q39" s="5"/>
      <c r="R39" s="5"/>
      <c r="S39" s="5"/>
    </row>
    <row r="40" spans="1:19" x14ac:dyDescent="0.2">
      <c r="A40" s="5">
        <f t="shared" si="0"/>
        <v>39</v>
      </c>
      <c r="B40" s="19">
        <v>37</v>
      </c>
      <c r="C40" s="19">
        <v>51</v>
      </c>
      <c r="D40" s="19">
        <v>160</v>
      </c>
      <c r="E40" s="19">
        <v>19.899999999999999</v>
      </c>
      <c r="F40" s="19">
        <v>77.099999999999994</v>
      </c>
      <c r="G40" s="19">
        <v>95</v>
      </c>
      <c r="H40" s="19">
        <v>60</v>
      </c>
      <c r="I40" s="19">
        <v>192</v>
      </c>
      <c r="J40" s="20">
        <v>283</v>
      </c>
      <c r="K40" s="19">
        <v>111.6</v>
      </c>
      <c r="L40" s="20">
        <v>225</v>
      </c>
      <c r="M40" s="19">
        <v>63.2</v>
      </c>
      <c r="N40" s="20">
        <v>56</v>
      </c>
      <c r="O40" s="19">
        <v>106.5</v>
      </c>
      <c r="P40" s="20">
        <v>182</v>
      </c>
      <c r="Q40" s="5"/>
      <c r="R40" s="5"/>
      <c r="S40" s="5"/>
    </row>
    <row r="41" spans="1:19" x14ac:dyDescent="0.2">
      <c r="A41" s="5">
        <f t="shared" si="0"/>
        <v>40</v>
      </c>
      <c r="B41" s="19">
        <v>32</v>
      </c>
      <c r="C41" s="19">
        <v>60</v>
      </c>
      <c r="D41" s="19">
        <v>166</v>
      </c>
      <c r="E41" s="19">
        <v>21.8</v>
      </c>
      <c r="F41" s="19">
        <v>78.7</v>
      </c>
      <c r="G41" s="19">
        <v>105</v>
      </c>
      <c r="H41" s="19">
        <v>60</v>
      </c>
      <c r="I41" s="19">
        <v>161</v>
      </c>
      <c r="J41" s="20">
        <v>281</v>
      </c>
      <c r="K41" s="19">
        <v>89</v>
      </c>
      <c r="L41" s="20">
        <v>249</v>
      </c>
      <c r="M41" s="19">
        <v>51.7</v>
      </c>
      <c r="N41" s="20">
        <v>50</v>
      </c>
      <c r="O41" s="19">
        <v>91.5</v>
      </c>
      <c r="P41" s="20">
        <v>181</v>
      </c>
      <c r="Q41" s="5"/>
      <c r="R41" s="5"/>
      <c r="S41" s="5"/>
    </row>
    <row r="42" spans="1:19" x14ac:dyDescent="0.2">
      <c r="A42" s="5">
        <f t="shared" si="0"/>
        <v>41</v>
      </c>
      <c r="B42" s="19">
        <v>33</v>
      </c>
      <c r="C42" s="19">
        <v>76</v>
      </c>
      <c r="D42" s="19">
        <v>170</v>
      </c>
      <c r="E42" s="19">
        <v>26.3</v>
      </c>
      <c r="F42" s="19">
        <v>76.400000000000006</v>
      </c>
      <c r="G42" s="19">
        <v>106</v>
      </c>
      <c r="H42" s="19">
        <v>55</v>
      </c>
      <c r="I42" s="19">
        <v>223</v>
      </c>
      <c r="J42" s="20">
        <v>279</v>
      </c>
      <c r="K42" s="19">
        <v>131</v>
      </c>
      <c r="L42" s="20">
        <v>227</v>
      </c>
      <c r="M42" s="19">
        <v>72.900000000000006</v>
      </c>
      <c r="N42" s="20">
        <v>84</v>
      </c>
      <c r="O42" s="19">
        <v>123.9</v>
      </c>
      <c r="P42" s="20">
        <v>149</v>
      </c>
      <c r="Q42" s="5"/>
      <c r="R42" s="5"/>
      <c r="S42" s="5"/>
    </row>
    <row r="43" spans="1:19" x14ac:dyDescent="0.2">
      <c r="A43" s="5">
        <f t="shared" si="0"/>
        <v>42</v>
      </c>
      <c r="B43" s="19">
        <v>36</v>
      </c>
      <c r="C43" s="19">
        <v>76</v>
      </c>
      <c r="D43" s="19">
        <v>167</v>
      </c>
      <c r="E43" s="19">
        <v>27.3</v>
      </c>
      <c r="F43" s="19">
        <v>81.8</v>
      </c>
      <c r="G43" s="19">
        <v>134</v>
      </c>
      <c r="H43" s="19">
        <v>82</v>
      </c>
      <c r="I43" s="19">
        <v>180</v>
      </c>
      <c r="J43" s="20">
        <v>278</v>
      </c>
      <c r="K43" s="19">
        <v>122.6</v>
      </c>
      <c r="L43" s="20">
        <v>273</v>
      </c>
      <c r="M43" s="19">
        <v>59.7</v>
      </c>
      <c r="N43" s="20">
        <v>57</v>
      </c>
      <c r="O43" s="19">
        <v>95.8</v>
      </c>
      <c r="P43" s="20">
        <v>166</v>
      </c>
      <c r="Q43" s="5"/>
      <c r="R43" s="5"/>
      <c r="S43" s="5"/>
    </row>
    <row r="44" spans="1:19" x14ac:dyDescent="0.2">
      <c r="A44" s="5">
        <f t="shared" si="0"/>
        <v>43</v>
      </c>
      <c r="B44" s="19">
        <v>28</v>
      </c>
      <c r="C44" s="19">
        <v>42</v>
      </c>
      <c r="D44" s="19">
        <v>157</v>
      </c>
      <c r="E44" s="19">
        <v>17.03</v>
      </c>
      <c r="F44" s="19">
        <v>79.3</v>
      </c>
      <c r="G44" s="19">
        <v>82</v>
      </c>
      <c r="H44" s="19">
        <v>56</v>
      </c>
      <c r="I44" s="19">
        <v>181</v>
      </c>
      <c r="J44" s="20">
        <v>277</v>
      </c>
      <c r="K44" s="19">
        <v>94</v>
      </c>
      <c r="L44" s="20">
        <v>452</v>
      </c>
      <c r="M44" s="19">
        <v>58.8</v>
      </c>
      <c r="N44" s="20">
        <v>61</v>
      </c>
      <c r="O44" s="19">
        <v>103.4</v>
      </c>
      <c r="P44" s="20">
        <v>217</v>
      </c>
      <c r="Q44" s="5"/>
      <c r="R44" s="5"/>
      <c r="S44" s="5"/>
    </row>
    <row r="45" spans="1:19" x14ac:dyDescent="0.2">
      <c r="A45" s="5">
        <f t="shared" si="0"/>
        <v>44</v>
      </c>
      <c r="B45" s="19">
        <v>34</v>
      </c>
      <c r="C45" s="19">
        <v>76</v>
      </c>
      <c r="D45" s="19">
        <v>170</v>
      </c>
      <c r="E45" s="19">
        <v>26.3</v>
      </c>
      <c r="F45" s="19">
        <v>81.099999999999994</v>
      </c>
      <c r="G45" s="19">
        <v>115</v>
      </c>
      <c r="H45" s="19">
        <v>72</v>
      </c>
      <c r="I45" s="19">
        <v>205</v>
      </c>
      <c r="J45" s="20">
        <v>276</v>
      </c>
      <c r="K45" s="19">
        <v>193</v>
      </c>
      <c r="L45" s="20">
        <v>360</v>
      </c>
      <c r="M45" s="19">
        <v>45.2</v>
      </c>
      <c r="N45" s="20">
        <v>37</v>
      </c>
      <c r="O45" s="19">
        <v>121.2</v>
      </c>
      <c r="P45" s="20">
        <v>167</v>
      </c>
      <c r="Q45" s="5"/>
      <c r="R45" s="5"/>
      <c r="S45" s="5"/>
    </row>
    <row r="46" spans="1:19" x14ac:dyDescent="0.2">
      <c r="A46" s="5">
        <f t="shared" si="0"/>
        <v>45</v>
      </c>
      <c r="B46" s="19">
        <v>33</v>
      </c>
      <c r="C46" s="19">
        <v>60</v>
      </c>
      <c r="D46" s="19">
        <v>170</v>
      </c>
      <c r="E46" s="19">
        <v>20.7</v>
      </c>
      <c r="F46" s="19">
        <v>74.900000000000006</v>
      </c>
      <c r="G46" s="19">
        <v>112</v>
      </c>
      <c r="H46" s="19">
        <v>80</v>
      </c>
      <c r="I46" s="19">
        <v>155</v>
      </c>
      <c r="J46" s="20">
        <v>272</v>
      </c>
      <c r="K46" s="19">
        <v>55</v>
      </c>
      <c r="L46" s="20">
        <v>226</v>
      </c>
      <c r="M46" s="19">
        <v>68.599999999999994</v>
      </c>
      <c r="N46" s="20">
        <v>54</v>
      </c>
      <c r="O46" s="19">
        <v>75.400000000000006</v>
      </c>
      <c r="P46" s="20">
        <v>172</v>
      </c>
      <c r="Q46" s="5"/>
      <c r="R46" s="5"/>
      <c r="S46" s="5"/>
    </row>
    <row r="47" spans="1:19" x14ac:dyDescent="0.2">
      <c r="A47" s="5">
        <f t="shared" si="0"/>
        <v>46</v>
      </c>
      <c r="B47" s="19">
        <v>37</v>
      </c>
      <c r="C47" s="19">
        <v>65</v>
      </c>
      <c r="D47" s="19">
        <v>157</v>
      </c>
      <c r="E47" s="19">
        <v>26.3</v>
      </c>
      <c r="F47" s="19">
        <v>88.1</v>
      </c>
      <c r="G47" s="19">
        <v>103</v>
      </c>
      <c r="H47" s="19">
        <v>62</v>
      </c>
      <c r="I47" s="19">
        <v>166</v>
      </c>
      <c r="J47" s="20">
        <v>271</v>
      </c>
      <c r="K47" s="19">
        <v>127</v>
      </c>
      <c r="L47" s="20">
        <v>285</v>
      </c>
      <c r="M47" s="19">
        <v>57.6</v>
      </c>
      <c r="N47" s="20">
        <v>67</v>
      </c>
      <c r="O47" s="19">
        <v>83</v>
      </c>
      <c r="P47" s="20">
        <v>146</v>
      </c>
      <c r="Q47" s="5"/>
      <c r="R47" s="5"/>
      <c r="S47" s="5"/>
    </row>
    <row r="48" spans="1:19" x14ac:dyDescent="0.2">
      <c r="A48" s="5">
        <f t="shared" si="0"/>
        <v>47</v>
      </c>
      <c r="B48" s="19">
        <v>33</v>
      </c>
      <c r="C48" s="19">
        <v>57</v>
      </c>
      <c r="D48" s="19">
        <v>162</v>
      </c>
      <c r="E48" s="19">
        <v>21.7</v>
      </c>
      <c r="F48" s="19">
        <v>78.2</v>
      </c>
      <c r="G48" s="19">
        <v>110</v>
      </c>
      <c r="H48" s="19">
        <v>69</v>
      </c>
      <c r="I48" s="19">
        <v>181</v>
      </c>
      <c r="J48" s="20">
        <v>270</v>
      </c>
      <c r="K48" s="19">
        <v>114</v>
      </c>
      <c r="L48" s="20">
        <v>221</v>
      </c>
      <c r="M48" s="19">
        <v>68</v>
      </c>
      <c r="N48" s="20">
        <v>76</v>
      </c>
      <c r="O48" s="19">
        <v>90.2</v>
      </c>
      <c r="P48" s="20">
        <v>151</v>
      </c>
      <c r="Q48" s="5"/>
      <c r="R48" s="5"/>
      <c r="S48" s="5"/>
    </row>
    <row r="49" spans="1:19" x14ac:dyDescent="0.2">
      <c r="A49" s="5">
        <f t="shared" si="0"/>
        <v>48</v>
      </c>
      <c r="B49" s="19">
        <v>30</v>
      </c>
      <c r="C49" s="19">
        <v>74</v>
      </c>
      <c r="D49" s="19">
        <v>170</v>
      </c>
      <c r="E49" s="19">
        <v>25.6</v>
      </c>
      <c r="F49" s="19">
        <v>90</v>
      </c>
      <c r="G49" s="19">
        <v>122</v>
      </c>
      <c r="H49" s="19">
        <v>71</v>
      </c>
      <c r="I49" s="19">
        <v>194</v>
      </c>
      <c r="J49" s="20">
        <v>269</v>
      </c>
      <c r="K49" s="19">
        <v>131</v>
      </c>
      <c r="L49" s="20">
        <v>267</v>
      </c>
      <c r="M49" s="19">
        <v>52.9</v>
      </c>
      <c r="N49" s="20">
        <v>61</v>
      </c>
      <c r="O49" s="19">
        <v>114.9</v>
      </c>
      <c r="P49" s="20">
        <v>153</v>
      </c>
      <c r="Q49" s="5"/>
      <c r="R49" s="5"/>
      <c r="S49" s="5"/>
    </row>
    <row r="50" spans="1:19" x14ac:dyDescent="0.2">
      <c r="A50" s="5">
        <f t="shared" si="0"/>
        <v>49</v>
      </c>
      <c r="B50" s="19">
        <v>30</v>
      </c>
      <c r="C50" s="19">
        <v>68</v>
      </c>
      <c r="D50" s="19">
        <v>167</v>
      </c>
      <c r="E50" s="19">
        <v>24.4</v>
      </c>
      <c r="F50" s="19">
        <v>72.5</v>
      </c>
      <c r="G50" s="19">
        <v>101</v>
      </c>
      <c r="H50" s="19">
        <v>69</v>
      </c>
      <c r="I50" s="19">
        <v>156</v>
      </c>
      <c r="J50" s="20">
        <v>262</v>
      </c>
      <c r="K50" s="19">
        <v>76</v>
      </c>
      <c r="L50" s="20">
        <v>310</v>
      </c>
      <c r="M50" s="19">
        <v>65.599999999999994</v>
      </c>
      <c r="N50" s="20">
        <v>73</v>
      </c>
      <c r="O50" s="19">
        <v>75.2</v>
      </c>
      <c r="P50" s="20">
        <v>127</v>
      </c>
      <c r="Q50" s="5"/>
      <c r="R50" s="5"/>
      <c r="S50" s="5"/>
    </row>
    <row r="51" spans="1:19" x14ac:dyDescent="0.2">
      <c r="A51" s="5">
        <f t="shared" si="0"/>
        <v>50</v>
      </c>
      <c r="B51" s="19">
        <v>34</v>
      </c>
      <c r="C51" s="19">
        <v>53</v>
      </c>
      <c r="D51" s="19">
        <v>168</v>
      </c>
      <c r="E51" s="19">
        <v>18.8</v>
      </c>
      <c r="F51" s="19">
        <v>85.9</v>
      </c>
      <c r="G51" s="19">
        <v>104</v>
      </c>
      <c r="H51" s="19">
        <v>43</v>
      </c>
      <c r="I51" s="19">
        <v>163</v>
      </c>
      <c r="J51" s="20">
        <v>259</v>
      </c>
      <c r="K51" s="19">
        <v>121</v>
      </c>
      <c r="L51" s="20">
        <v>258</v>
      </c>
      <c r="M51" s="19">
        <v>52.2</v>
      </c>
      <c r="N51" s="20">
        <v>55</v>
      </c>
      <c r="O51" s="19">
        <v>86.6</v>
      </c>
      <c r="P51" s="20">
        <v>152</v>
      </c>
      <c r="Q51" s="5"/>
      <c r="R51" s="5"/>
      <c r="S51" s="5"/>
    </row>
    <row r="52" spans="1:19" x14ac:dyDescent="0.2">
      <c r="A52" s="5">
        <f t="shared" si="0"/>
        <v>51</v>
      </c>
      <c r="B52" s="19">
        <v>30</v>
      </c>
      <c r="C52" s="19">
        <v>95</v>
      </c>
      <c r="D52" s="19">
        <v>170</v>
      </c>
      <c r="E52" s="19">
        <v>32.9</v>
      </c>
      <c r="F52" s="19">
        <v>77.599999999999994</v>
      </c>
      <c r="G52" s="19">
        <v>102</v>
      </c>
      <c r="H52" s="19">
        <v>56</v>
      </c>
      <c r="I52" s="19">
        <v>172</v>
      </c>
      <c r="J52" s="20">
        <v>257</v>
      </c>
      <c r="K52" s="19">
        <v>88</v>
      </c>
      <c r="L52" s="20">
        <v>291</v>
      </c>
      <c r="M52" s="19">
        <v>76.599999999999994</v>
      </c>
      <c r="N52" s="20">
        <v>65</v>
      </c>
      <c r="O52" s="19">
        <v>77.8</v>
      </c>
      <c r="P52" s="20">
        <v>133</v>
      </c>
      <c r="Q52" s="5"/>
      <c r="R52" s="5"/>
      <c r="S52" s="5"/>
    </row>
    <row r="53" spans="1:19" x14ac:dyDescent="0.2">
      <c r="A53" s="5">
        <f t="shared" si="0"/>
        <v>52</v>
      </c>
      <c r="B53" s="29">
        <v>31</v>
      </c>
      <c r="C53" s="29">
        <v>59</v>
      </c>
      <c r="D53" s="29">
        <v>156</v>
      </c>
      <c r="E53" s="29">
        <v>24.2</v>
      </c>
      <c r="F53" s="29">
        <v>74.3</v>
      </c>
      <c r="G53" s="29">
        <v>103</v>
      </c>
      <c r="H53" s="29">
        <v>62</v>
      </c>
      <c r="I53" s="29">
        <v>175</v>
      </c>
      <c r="J53" s="20">
        <v>253</v>
      </c>
      <c r="K53" s="29">
        <v>57</v>
      </c>
      <c r="L53" s="20">
        <v>217</v>
      </c>
      <c r="M53" s="29">
        <v>71.099999999999994</v>
      </c>
      <c r="N53" s="20">
        <v>87</v>
      </c>
      <c r="O53" s="29">
        <v>92.5</v>
      </c>
      <c r="P53" s="20">
        <v>122</v>
      </c>
      <c r="Q53" s="5"/>
      <c r="R53" s="5"/>
      <c r="S53" s="5"/>
    </row>
    <row r="54" spans="1:19" x14ac:dyDescent="0.2">
      <c r="A54" s="5">
        <f t="shared" si="0"/>
        <v>53</v>
      </c>
      <c r="B54" s="19">
        <v>27</v>
      </c>
      <c r="C54" s="19">
        <v>53</v>
      </c>
      <c r="D54" s="19">
        <v>153</v>
      </c>
      <c r="E54" s="19">
        <v>22.6</v>
      </c>
      <c r="F54" s="19">
        <v>77.8</v>
      </c>
      <c r="G54" s="19">
        <v>91</v>
      </c>
      <c r="H54" s="19">
        <v>27</v>
      </c>
      <c r="I54" s="19">
        <v>209</v>
      </c>
      <c r="J54" s="20">
        <v>253</v>
      </c>
      <c r="K54" s="19">
        <v>60.4</v>
      </c>
      <c r="L54" s="20">
        <v>161</v>
      </c>
      <c r="M54" s="19">
        <v>75</v>
      </c>
      <c r="N54" s="20">
        <v>55</v>
      </c>
      <c r="O54" s="19">
        <v>121.9</v>
      </c>
      <c r="P54" s="20">
        <v>166</v>
      </c>
      <c r="Q54" s="5"/>
      <c r="R54" s="5"/>
      <c r="S54" s="5"/>
    </row>
    <row r="55" spans="1:19" x14ac:dyDescent="0.2">
      <c r="A55" s="5">
        <f t="shared" si="0"/>
        <v>54</v>
      </c>
      <c r="B55" s="29">
        <v>36</v>
      </c>
      <c r="C55" s="29">
        <v>57</v>
      </c>
      <c r="D55" s="29">
        <v>158</v>
      </c>
      <c r="E55" s="29">
        <v>21.7</v>
      </c>
      <c r="F55" s="29">
        <v>81.7</v>
      </c>
      <c r="G55" s="29">
        <v>126</v>
      </c>
      <c r="H55" s="29">
        <v>83</v>
      </c>
      <c r="I55" s="29">
        <v>171</v>
      </c>
      <c r="J55" s="20">
        <v>250</v>
      </c>
      <c r="K55" s="29">
        <v>94</v>
      </c>
      <c r="L55" s="20">
        <v>591</v>
      </c>
      <c r="M55" s="29">
        <v>45.1</v>
      </c>
      <c r="N55" s="20">
        <v>37</v>
      </c>
      <c r="O55" s="29">
        <v>107.1</v>
      </c>
      <c r="P55" s="20">
        <v>94</v>
      </c>
      <c r="Q55" s="5"/>
      <c r="R55" s="5"/>
      <c r="S55" s="5"/>
    </row>
    <row r="56" spans="1:19" x14ac:dyDescent="0.2">
      <c r="A56" s="5">
        <f t="shared" si="0"/>
        <v>55</v>
      </c>
      <c r="B56" s="29">
        <v>26</v>
      </c>
      <c r="C56" s="29">
        <v>82</v>
      </c>
      <c r="D56" s="29">
        <v>176</v>
      </c>
      <c r="E56" s="29">
        <v>27.7</v>
      </c>
      <c r="F56" s="29">
        <v>84.7</v>
      </c>
      <c r="G56" s="29">
        <v>100</v>
      </c>
      <c r="H56" s="29">
        <v>69</v>
      </c>
      <c r="I56" s="29">
        <v>184</v>
      </c>
      <c r="J56" s="20">
        <v>250</v>
      </c>
      <c r="K56" s="29">
        <v>96</v>
      </c>
      <c r="L56" s="20">
        <v>302</v>
      </c>
      <c r="M56" s="29">
        <v>54.1</v>
      </c>
      <c r="N56" s="20">
        <v>59</v>
      </c>
      <c r="O56" s="29">
        <v>110.7</v>
      </c>
      <c r="P56" s="20">
        <v>225</v>
      </c>
      <c r="Q56" s="5"/>
      <c r="R56" s="5"/>
      <c r="S56" s="5"/>
    </row>
    <row r="57" spans="1:19" x14ac:dyDescent="0.2">
      <c r="A57" s="5">
        <f t="shared" si="0"/>
        <v>56</v>
      </c>
      <c r="B57" s="19">
        <v>33</v>
      </c>
      <c r="C57" s="19">
        <v>67</v>
      </c>
      <c r="D57" s="19">
        <v>157</v>
      </c>
      <c r="E57" s="19">
        <v>27.2</v>
      </c>
      <c r="F57" s="19">
        <v>80.900000000000006</v>
      </c>
      <c r="G57" s="19">
        <v>110</v>
      </c>
      <c r="H57" s="19">
        <v>67</v>
      </c>
      <c r="I57" s="19">
        <v>200</v>
      </c>
      <c r="J57" s="20">
        <v>249</v>
      </c>
      <c r="K57" s="19">
        <v>71</v>
      </c>
      <c r="L57" s="20">
        <v>250</v>
      </c>
      <c r="M57" s="19">
        <v>70.7</v>
      </c>
      <c r="N57" s="20">
        <v>60</v>
      </c>
      <c r="O57" s="19">
        <v>115.1</v>
      </c>
      <c r="P57" s="20">
        <v>138</v>
      </c>
      <c r="Q57" s="5"/>
      <c r="R57" s="5"/>
      <c r="S57" s="5"/>
    </row>
    <row r="58" spans="1:19" x14ac:dyDescent="0.2">
      <c r="A58" s="5">
        <f t="shared" si="0"/>
        <v>57</v>
      </c>
      <c r="B58" s="19">
        <v>24</v>
      </c>
      <c r="C58" s="19">
        <v>46</v>
      </c>
      <c r="D58" s="19">
        <v>160</v>
      </c>
      <c r="E58" s="19">
        <v>18</v>
      </c>
      <c r="F58" s="19">
        <v>80.599999999999994</v>
      </c>
      <c r="G58" s="19">
        <v>114</v>
      </c>
      <c r="H58" s="19">
        <v>58</v>
      </c>
      <c r="I58" s="19">
        <v>153</v>
      </c>
      <c r="J58" s="20">
        <v>244</v>
      </c>
      <c r="K58" s="19">
        <v>89</v>
      </c>
      <c r="L58" s="20">
        <v>281</v>
      </c>
      <c r="M58" s="19">
        <v>63.2</v>
      </c>
      <c r="N58" s="20">
        <v>72</v>
      </c>
      <c r="O58" s="19">
        <v>72</v>
      </c>
      <c r="P58" s="20">
        <v>116</v>
      </c>
      <c r="Q58" s="5"/>
      <c r="R58" s="5"/>
      <c r="S58" s="5"/>
    </row>
    <row r="59" spans="1:19" x14ac:dyDescent="0.2">
      <c r="A59" s="5">
        <f t="shared" si="0"/>
        <v>58</v>
      </c>
      <c r="B59" s="19">
        <v>34</v>
      </c>
      <c r="C59" s="19">
        <v>60</v>
      </c>
      <c r="D59" s="19">
        <v>164</v>
      </c>
      <c r="E59" s="19">
        <v>22.3</v>
      </c>
      <c r="F59" s="19">
        <v>76.599999999999994</v>
      </c>
      <c r="G59" s="19">
        <v>98</v>
      </c>
      <c r="H59" s="19">
        <v>60</v>
      </c>
      <c r="I59" s="19">
        <v>199</v>
      </c>
      <c r="J59" s="20">
        <v>242</v>
      </c>
      <c r="K59" s="19">
        <v>74</v>
      </c>
      <c r="L59" s="20">
        <v>274</v>
      </c>
      <c r="M59" s="19">
        <v>64.900000000000006</v>
      </c>
      <c r="N59" s="20">
        <v>65</v>
      </c>
      <c r="O59" s="19">
        <v>119.3</v>
      </c>
      <c r="P59" s="20">
        <v>121</v>
      </c>
      <c r="Q59" s="5"/>
      <c r="R59" s="5"/>
      <c r="S59" s="5"/>
    </row>
    <row r="60" spans="1:19" x14ac:dyDescent="0.2">
      <c r="A60" s="5">
        <f t="shared" si="0"/>
        <v>59</v>
      </c>
      <c r="B60" s="19">
        <v>34</v>
      </c>
      <c r="C60" s="19">
        <v>48</v>
      </c>
      <c r="D60" s="19">
        <v>160</v>
      </c>
      <c r="E60" s="19">
        <v>18.7</v>
      </c>
      <c r="F60" s="19">
        <v>85.4</v>
      </c>
      <c r="G60" s="19">
        <v>97</v>
      </c>
      <c r="H60" s="19">
        <v>65</v>
      </c>
      <c r="I60" s="19">
        <v>147</v>
      </c>
      <c r="J60" s="20">
        <v>241</v>
      </c>
      <c r="K60" s="19">
        <v>57.8</v>
      </c>
      <c r="L60" s="20">
        <v>144</v>
      </c>
      <c r="M60" s="19">
        <v>61.8</v>
      </c>
      <c r="N60" s="20">
        <v>99</v>
      </c>
      <c r="O60" s="19">
        <v>73.599999999999994</v>
      </c>
      <c r="P60" s="20">
        <v>113</v>
      </c>
      <c r="Q60" s="5"/>
      <c r="R60" s="5"/>
      <c r="S60" s="5"/>
    </row>
    <row r="61" spans="1:19" x14ac:dyDescent="0.2">
      <c r="A61" s="5">
        <f t="shared" si="0"/>
        <v>60</v>
      </c>
      <c r="B61" s="19">
        <v>31</v>
      </c>
      <c r="C61" s="19">
        <v>61</v>
      </c>
      <c r="D61" s="19">
        <v>163</v>
      </c>
      <c r="E61" s="19">
        <v>23</v>
      </c>
      <c r="F61" s="19">
        <v>89.7</v>
      </c>
      <c r="G61" s="19">
        <v>116</v>
      </c>
      <c r="H61" s="19">
        <v>70</v>
      </c>
      <c r="I61" s="19">
        <v>164</v>
      </c>
      <c r="J61" s="20">
        <v>240</v>
      </c>
      <c r="K61" s="19">
        <v>91</v>
      </c>
      <c r="L61" s="20">
        <v>199</v>
      </c>
      <c r="M61" s="19">
        <v>78.3</v>
      </c>
      <c r="N61" s="20">
        <v>65</v>
      </c>
      <c r="O61" s="19">
        <v>67.5</v>
      </c>
      <c r="P61" s="20">
        <v>135</v>
      </c>
      <c r="Q61" s="5"/>
      <c r="R61" s="5"/>
      <c r="S61" s="5"/>
    </row>
    <row r="62" spans="1:19" x14ac:dyDescent="0.2">
      <c r="A62" s="5">
        <f t="shared" si="0"/>
        <v>61</v>
      </c>
      <c r="B62" s="19">
        <v>34</v>
      </c>
      <c r="C62" s="19">
        <v>55</v>
      </c>
      <c r="D62" s="19">
        <v>165</v>
      </c>
      <c r="E62" s="19">
        <v>20.2</v>
      </c>
      <c r="F62" s="19">
        <v>76.3</v>
      </c>
      <c r="G62" s="19">
        <v>100</v>
      </c>
      <c r="H62" s="19">
        <v>70</v>
      </c>
      <c r="I62" s="19">
        <v>146</v>
      </c>
      <c r="J62" s="20">
        <v>240</v>
      </c>
      <c r="K62" s="19">
        <v>71</v>
      </c>
      <c r="L62" s="20">
        <v>153</v>
      </c>
      <c r="M62" s="19">
        <v>49</v>
      </c>
      <c r="N62" s="20">
        <v>65</v>
      </c>
      <c r="O62" s="19">
        <v>82.8</v>
      </c>
      <c r="P62" s="20">
        <v>143</v>
      </c>
      <c r="Q62" s="5"/>
      <c r="R62" s="5"/>
      <c r="S62" s="5"/>
    </row>
    <row r="63" spans="1:19" x14ac:dyDescent="0.2">
      <c r="A63" s="5">
        <f t="shared" si="0"/>
        <v>62</v>
      </c>
      <c r="B63" s="19">
        <v>27</v>
      </c>
      <c r="C63" s="19">
        <v>65</v>
      </c>
      <c r="D63" s="19">
        <v>161</v>
      </c>
      <c r="E63" s="19">
        <v>25.1</v>
      </c>
      <c r="F63" s="19">
        <v>98</v>
      </c>
      <c r="G63" s="19">
        <v>101</v>
      </c>
      <c r="H63" s="19">
        <v>66</v>
      </c>
      <c r="I63" s="19">
        <v>203</v>
      </c>
      <c r="J63" s="20">
        <v>239</v>
      </c>
      <c r="K63" s="19">
        <v>47</v>
      </c>
      <c r="L63" s="20">
        <v>385</v>
      </c>
      <c r="M63" s="19">
        <v>58.6</v>
      </c>
      <c r="N63" s="20">
        <v>50</v>
      </c>
      <c r="O63" s="19">
        <v>135</v>
      </c>
      <c r="P63" s="20">
        <v>112</v>
      </c>
      <c r="Q63" s="5"/>
      <c r="R63" s="5"/>
      <c r="S63" s="5"/>
    </row>
    <row r="64" spans="1:19" x14ac:dyDescent="0.2">
      <c r="A64" s="5">
        <f t="shared" si="0"/>
        <v>63</v>
      </c>
      <c r="B64" s="19">
        <v>28</v>
      </c>
      <c r="C64" s="19">
        <v>67</v>
      </c>
      <c r="D64" s="19">
        <v>165</v>
      </c>
      <c r="E64" s="19">
        <v>24.6</v>
      </c>
      <c r="F64" s="19">
        <v>81.400000000000006</v>
      </c>
      <c r="G64" s="19">
        <v>105</v>
      </c>
      <c r="H64" s="19">
        <v>58</v>
      </c>
      <c r="I64" s="19">
        <v>152</v>
      </c>
      <c r="J64" s="20">
        <v>239</v>
      </c>
      <c r="K64" s="19">
        <v>68</v>
      </c>
      <c r="L64" s="20">
        <v>145</v>
      </c>
      <c r="M64" s="19">
        <v>50.9</v>
      </c>
      <c r="N64" s="20">
        <v>65</v>
      </c>
      <c r="O64" s="19">
        <v>87.5</v>
      </c>
      <c r="P64" s="20">
        <v>145</v>
      </c>
      <c r="Q64" s="5"/>
      <c r="R64" s="5"/>
      <c r="S64" s="5"/>
    </row>
    <row r="65" spans="1:19" x14ac:dyDescent="0.2">
      <c r="A65" s="5">
        <f t="shared" si="0"/>
        <v>64</v>
      </c>
      <c r="B65" s="19">
        <v>28</v>
      </c>
      <c r="C65" s="19">
        <v>50</v>
      </c>
      <c r="D65" s="19">
        <v>157</v>
      </c>
      <c r="E65" s="19">
        <v>20.3</v>
      </c>
      <c r="F65" s="19">
        <v>79.8</v>
      </c>
      <c r="G65" s="19">
        <v>101</v>
      </c>
      <c r="H65" s="19">
        <v>48</v>
      </c>
      <c r="I65" s="19">
        <v>165</v>
      </c>
      <c r="J65" s="20">
        <v>237</v>
      </c>
      <c r="K65" s="19">
        <v>82</v>
      </c>
      <c r="L65" s="20">
        <v>241</v>
      </c>
      <c r="M65" s="19">
        <v>49.6</v>
      </c>
      <c r="N65" s="20">
        <v>50</v>
      </c>
      <c r="O65" s="19">
        <v>99</v>
      </c>
      <c r="P65" s="20">
        <v>136</v>
      </c>
      <c r="Q65" s="5"/>
      <c r="R65" s="5"/>
      <c r="S65" s="5"/>
    </row>
    <row r="66" spans="1:19" x14ac:dyDescent="0.2">
      <c r="A66" s="5">
        <f t="shared" si="0"/>
        <v>65</v>
      </c>
      <c r="B66" s="19">
        <v>34</v>
      </c>
      <c r="C66" s="19">
        <v>53</v>
      </c>
      <c r="D66" s="19">
        <v>152</v>
      </c>
      <c r="E66" s="19">
        <v>22.9</v>
      </c>
      <c r="F66" s="19">
        <v>82.5</v>
      </c>
      <c r="G66" s="19">
        <v>104</v>
      </c>
      <c r="H66" s="19">
        <v>64</v>
      </c>
      <c r="I66" s="19">
        <v>164</v>
      </c>
      <c r="J66" s="20">
        <v>236</v>
      </c>
      <c r="K66" s="19">
        <v>77.3</v>
      </c>
      <c r="L66" s="20">
        <v>254</v>
      </c>
      <c r="M66" s="19">
        <v>58.2</v>
      </c>
      <c r="N66" s="20">
        <v>75</v>
      </c>
      <c r="O66" s="19">
        <v>90.3</v>
      </c>
      <c r="P66" s="20">
        <v>110</v>
      </c>
      <c r="Q66" s="5"/>
      <c r="R66" s="5"/>
      <c r="S66" s="5"/>
    </row>
    <row r="67" spans="1:19" x14ac:dyDescent="0.2">
      <c r="A67" s="5">
        <f t="shared" si="0"/>
        <v>66</v>
      </c>
      <c r="B67" s="19">
        <v>38</v>
      </c>
      <c r="C67" s="19">
        <v>61</v>
      </c>
      <c r="D67" s="19">
        <v>167</v>
      </c>
      <c r="E67" s="19">
        <v>21.8</v>
      </c>
      <c r="F67" s="19">
        <v>85.9</v>
      </c>
      <c r="G67" s="19">
        <v>112</v>
      </c>
      <c r="H67" s="19">
        <v>68</v>
      </c>
      <c r="I67" s="19">
        <v>165</v>
      </c>
      <c r="J67" s="20">
        <v>235</v>
      </c>
      <c r="K67" s="19">
        <v>66</v>
      </c>
      <c r="L67" s="20">
        <v>205</v>
      </c>
      <c r="M67" s="19">
        <v>58.6</v>
      </c>
      <c r="N67" s="20">
        <v>61</v>
      </c>
      <c r="O67" s="19">
        <v>93.2</v>
      </c>
      <c r="P67" s="20">
        <v>132</v>
      </c>
      <c r="Q67" s="5"/>
      <c r="R67" s="5"/>
      <c r="S67" s="5"/>
    </row>
    <row r="68" spans="1:19" x14ac:dyDescent="0.2">
      <c r="A68" s="5">
        <f t="shared" ref="A68:A84" si="1">1+A67</f>
        <v>67</v>
      </c>
      <c r="B68" s="19">
        <v>33</v>
      </c>
      <c r="C68" s="19">
        <v>53</v>
      </c>
      <c r="D68" s="19">
        <v>163</v>
      </c>
      <c r="E68" s="19">
        <v>19.899999999999999</v>
      </c>
      <c r="F68" s="19">
        <v>89</v>
      </c>
      <c r="G68" s="19">
        <v>116</v>
      </c>
      <c r="H68" s="19">
        <v>49</v>
      </c>
      <c r="I68" s="19">
        <v>173</v>
      </c>
      <c r="J68" s="20">
        <v>234</v>
      </c>
      <c r="K68" s="19">
        <v>66</v>
      </c>
      <c r="L68" s="20">
        <v>185</v>
      </c>
      <c r="M68" s="19">
        <v>62.4</v>
      </c>
      <c r="N68" s="20">
        <v>59</v>
      </c>
      <c r="O68" s="19">
        <v>97.4</v>
      </c>
      <c r="P68" s="20">
        <v>135</v>
      </c>
      <c r="Q68" s="5"/>
      <c r="R68" s="5"/>
      <c r="S68" s="5"/>
    </row>
    <row r="69" spans="1:19" x14ac:dyDescent="0.2">
      <c r="A69" s="5">
        <f t="shared" si="1"/>
        <v>68</v>
      </c>
      <c r="B69" s="19">
        <v>29</v>
      </c>
      <c r="C69" s="19">
        <v>53</v>
      </c>
      <c r="D69" s="19">
        <v>164</v>
      </c>
      <c r="E69" s="19">
        <v>19.7</v>
      </c>
      <c r="F69" s="19">
        <v>76.400000000000006</v>
      </c>
      <c r="G69" s="19">
        <v>116</v>
      </c>
      <c r="H69" s="19">
        <v>57</v>
      </c>
      <c r="I69" s="19">
        <v>164</v>
      </c>
      <c r="J69" s="20">
        <v>232</v>
      </c>
      <c r="K69" s="19">
        <v>106</v>
      </c>
      <c r="L69" s="20">
        <v>346</v>
      </c>
      <c r="M69" s="19">
        <v>56.6</v>
      </c>
      <c r="N69" s="20">
        <v>62</v>
      </c>
      <c r="O69" s="19">
        <v>86.2</v>
      </c>
      <c r="P69" s="20">
        <v>100</v>
      </c>
      <c r="Q69" s="5"/>
      <c r="R69" s="5"/>
      <c r="S69" s="5"/>
    </row>
    <row r="70" spans="1:19" x14ac:dyDescent="0.2">
      <c r="A70" s="5">
        <f t="shared" si="1"/>
        <v>69</v>
      </c>
      <c r="B70" s="19">
        <v>28</v>
      </c>
      <c r="C70" s="19">
        <v>58</v>
      </c>
      <c r="D70" s="19">
        <v>163</v>
      </c>
      <c r="E70" s="19">
        <v>21.8</v>
      </c>
      <c r="F70" s="19">
        <v>76.8</v>
      </c>
      <c r="G70" s="19">
        <v>98</v>
      </c>
      <c r="H70" s="19">
        <v>54</v>
      </c>
      <c r="I70" s="19">
        <v>146</v>
      </c>
      <c r="J70" s="20">
        <v>226</v>
      </c>
      <c r="K70" s="19">
        <v>60</v>
      </c>
      <c r="L70" s="20">
        <v>150</v>
      </c>
      <c r="M70" s="19">
        <v>55.2</v>
      </c>
      <c r="N70" s="20">
        <v>63</v>
      </c>
      <c r="O70" s="19">
        <v>78.8</v>
      </c>
      <c r="P70" s="20">
        <v>133</v>
      </c>
      <c r="Q70" s="5"/>
      <c r="R70" s="5"/>
      <c r="S70" s="5"/>
    </row>
    <row r="71" spans="1:19" x14ac:dyDescent="0.2">
      <c r="A71" s="5">
        <f t="shared" si="1"/>
        <v>70</v>
      </c>
      <c r="B71" s="19">
        <v>37</v>
      </c>
      <c r="C71" s="19">
        <v>71</v>
      </c>
      <c r="D71" s="19">
        <v>161</v>
      </c>
      <c r="E71" s="19">
        <v>27.4</v>
      </c>
      <c r="F71" s="19">
        <v>92.8</v>
      </c>
      <c r="G71" s="19">
        <v>108</v>
      </c>
      <c r="H71" s="19">
        <v>59</v>
      </c>
      <c r="I71" s="19">
        <v>212</v>
      </c>
      <c r="J71" s="20">
        <v>226</v>
      </c>
      <c r="K71" s="19">
        <v>169</v>
      </c>
      <c r="L71" s="20">
        <v>343</v>
      </c>
      <c r="M71" s="19">
        <v>83.3</v>
      </c>
      <c r="N71" s="20">
        <v>73</v>
      </c>
      <c r="O71" s="19">
        <v>94.9</v>
      </c>
      <c r="P71" s="20">
        <v>84</v>
      </c>
      <c r="Q71" s="5"/>
      <c r="R71" s="5"/>
      <c r="S71" s="5"/>
    </row>
    <row r="72" spans="1:19" x14ac:dyDescent="0.2">
      <c r="A72" s="5">
        <f t="shared" si="1"/>
        <v>71</v>
      </c>
      <c r="B72" s="19">
        <v>32</v>
      </c>
      <c r="C72" s="19">
        <v>56</v>
      </c>
      <c r="D72" s="19">
        <v>169</v>
      </c>
      <c r="E72" s="19">
        <v>19.600000000000001</v>
      </c>
      <c r="F72" s="19">
        <v>69.5</v>
      </c>
      <c r="G72" s="19">
        <v>106</v>
      </c>
      <c r="H72" s="19">
        <v>54</v>
      </c>
      <c r="I72" s="19">
        <v>134</v>
      </c>
      <c r="J72" s="20">
        <v>221</v>
      </c>
      <c r="K72" s="19">
        <v>71</v>
      </c>
      <c r="L72" s="20">
        <v>270</v>
      </c>
      <c r="M72" s="19">
        <v>59.4</v>
      </c>
      <c r="N72" s="20">
        <v>67</v>
      </c>
      <c r="O72" s="19">
        <v>60.4</v>
      </c>
      <c r="P72" s="20">
        <v>99</v>
      </c>
      <c r="Q72" s="5"/>
      <c r="R72" s="5"/>
      <c r="S72" s="5"/>
    </row>
    <row r="73" spans="1:19" x14ac:dyDescent="0.2">
      <c r="A73" s="5">
        <f t="shared" si="1"/>
        <v>72</v>
      </c>
      <c r="B73" s="19">
        <v>28</v>
      </c>
      <c r="C73" s="19">
        <v>56</v>
      </c>
      <c r="D73" s="19">
        <v>157</v>
      </c>
      <c r="E73" s="19">
        <v>22.7</v>
      </c>
      <c r="F73" s="31">
        <v>64.7</v>
      </c>
      <c r="G73" s="19">
        <v>109</v>
      </c>
      <c r="H73" s="19">
        <v>71</v>
      </c>
      <c r="I73" s="19">
        <v>179</v>
      </c>
      <c r="J73" s="20">
        <v>221</v>
      </c>
      <c r="K73" s="19">
        <v>76</v>
      </c>
      <c r="L73" s="20">
        <v>126</v>
      </c>
      <c r="M73" s="19">
        <v>69.400000000000006</v>
      </c>
      <c r="N73" s="20">
        <v>80</v>
      </c>
      <c r="O73" s="19">
        <v>94.4</v>
      </c>
      <c r="P73" s="20">
        <v>115</v>
      </c>
      <c r="Q73" s="5"/>
      <c r="R73" s="5"/>
      <c r="S73" s="5"/>
    </row>
    <row r="74" spans="1:19" x14ac:dyDescent="0.2">
      <c r="A74" s="5">
        <f t="shared" si="1"/>
        <v>73</v>
      </c>
      <c r="B74" s="19">
        <v>32</v>
      </c>
      <c r="C74" s="19">
        <v>58</v>
      </c>
      <c r="D74" s="19">
        <v>167</v>
      </c>
      <c r="E74" s="19">
        <v>20.8</v>
      </c>
      <c r="F74" s="19">
        <v>84.4</v>
      </c>
      <c r="G74" s="19">
        <v>92</v>
      </c>
      <c r="H74" s="19">
        <v>64</v>
      </c>
      <c r="I74" s="19">
        <v>175</v>
      </c>
      <c r="J74" s="20">
        <v>220</v>
      </c>
      <c r="K74" s="19">
        <v>79.099999999999994</v>
      </c>
      <c r="L74" s="20">
        <v>204</v>
      </c>
      <c r="M74" s="19">
        <v>67.2</v>
      </c>
      <c r="N74" s="20">
        <v>74</v>
      </c>
      <c r="O74" s="19">
        <v>92</v>
      </c>
      <c r="P74" s="20">
        <v>106</v>
      </c>
      <c r="Q74" s="5"/>
      <c r="R74" s="5"/>
      <c r="S74" s="5"/>
    </row>
    <row r="75" spans="1:19" x14ac:dyDescent="0.2">
      <c r="A75" s="5">
        <f t="shared" si="1"/>
        <v>74</v>
      </c>
      <c r="B75" s="19">
        <v>35</v>
      </c>
      <c r="C75" s="19">
        <v>80</v>
      </c>
      <c r="D75" s="19">
        <v>168</v>
      </c>
      <c r="E75" s="19">
        <v>28.3</v>
      </c>
      <c r="F75" s="19">
        <v>80</v>
      </c>
      <c r="G75" s="19">
        <v>105</v>
      </c>
      <c r="H75" s="19">
        <v>63</v>
      </c>
      <c r="I75" s="19">
        <v>164</v>
      </c>
      <c r="J75" s="20">
        <v>218</v>
      </c>
      <c r="K75" s="19">
        <v>57</v>
      </c>
      <c r="L75" s="20">
        <v>169</v>
      </c>
      <c r="M75" s="19">
        <v>56.2</v>
      </c>
      <c r="N75" s="20">
        <v>84</v>
      </c>
      <c r="O75" s="19">
        <v>96.4</v>
      </c>
      <c r="P75" s="20">
        <v>98</v>
      </c>
      <c r="Q75" s="5"/>
      <c r="R75" s="5"/>
      <c r="S75" s="5"/>
    </row>
    <row r="76" spans="1:19" x14ac:dyDescent="0.2">
      <c r="A76" s="5">
        <f t="shared" si="1"/>
        <v>75</v>
      </c>
      <c r="B76" s="19">
        <v>33</v>
      </c>
      <c r="C76" s="19">
        <v>62</v>
      </c>
      <c r="D76" s="19">
        <v>169</v>
      </c>
      <c r="E76" s="19">
        <v>21.7</v>
      </c>
      <c r="F76" s="19">
        <v>74.2</v>
      </c>
      <c r="G76" s="19">
        <v>106</v>
      </c>
      <c r="H76" s="19">
        <v>68</v>
      </c>
      <c r="I76" s="19">
        <v>147</v>
      </c>
      <c r="J76" s="20">
        <v>216</v>
      </c>
      <c r="K76" s="19">
        <v>64</v>
      </c>
      <c r="L76" s="20">
        <v>195</v>
      </c>
      <c r="M76" s="19">
        <v>60.4</v>
      </c>
      <c r="N76" s="20">
        <v>63</v>
      </c>
      <c r="O76" s="19">
        <v>73.8</v>
      </c>
      <c r="P76" s="20">
        <v>113</v>
      </c>
      <c r="Q76" s="5"/>
      <c r="R76" s="5"/>
      <c r="S76" s="5"/>
    </row>
    <row r="77" spans="1:19" x14ac:dyDescent="0.2">
      <c r="A77" s="5">
        <f t="shared" si="1"/>
        <v>76</v>
      </c>
      <c r="B77" s="19">
        <v>35</v>
      </c>
      <c r="C77" s="19">
        <v>60</v>
      </c>
      <c r="D77" s="19">
        <v>163</v>
      </c>
      <c r="E77" s="19">
        <v>22.6</v>
      </c>
      <c r="F77" s="19">
        <v>84.6</v>
      </c>
      <c r="G77" s="19">
        <v>101</v>
      </c>
      <c r="H77" s="19">
        <v>75</v>
      </c>
      <c r="I77" s="19">
        <v>159</v>
      </c>
      <c r="J77" s="20">
        <v>213</v>
      </c>
      <c r="K77" s="19">
        <v>72</v>
      </c>
      <c r="L77" s="20">
        <v>152</v>
      </c>
      <c r="M77" s="19">
        <v>45</v>
      </c>
      <c r="N77" s="20">
        <v>48</v>
      </c>
      <c r="O77" s="19">
        <v>99.6</v>
      </c>
      <c r="P77" s="20">
        <v>133</v>
      </c>
      <c r="Q77" s="5"/>
      <c r="R77" s="5"/>
      <c r="S77" s="5"/>
    </row>
    <row r="78" spans="1:19" x14ac:dyDescent="0.2">
      <c r="A78" s="5">
        <f t="shared" si="1"/>
        <v>77</v>
      </c>
      <c r="B78" s="19">
        <v>29</v>
      </c>
      <c r="C78" s="19">
        <v>64</v>
      </c>
      <c r="D78" s="19">
        <v>165</v>
      </c>
      <c r="E78" s="19">
        <v>23.9</v>
      </c>
      <c r="F78" s="19">
        <v>89.8</v>
      </c>
      <c r="G78" s="19">
        <v>112</v>
      </c>
      <c r="H78" s="19">
        <v>55</v>
      </c>
      <c r="I78" s="19">
        <v>193</v>
      </c>
      <c r="J78" s="20">
        <v>213</v>
      </c>
      <c r="K78" s="19">
        <v>75</v>
      </c>
      <c r="L78" s="20">
        <v>217</v>
      </c>
      <c r="M78" s="19">
        <v>55.7</v>
      </c>
      <c r="N78" s="20">
        <v>46</v>
      </c>
      <c r="O78" s="19">
        <v>122.3</v>
      </c>
      <c r="P78" s="20">
        <v>122</v>
      </c>
      <c r="Q78" s="5"/>
      <c r="R78" s="5"/>
      <c r="S78" s="5"/>
    </row>
    <row r="79" spans="1:19" x14ac:dyDescent="0.2">
      <c r="A79" s="5">
        <f t="shared" si="1"/>
        <v>78</v>
      </c>
      <c r="B79" s="19">
        <v>31</v>
      </c>
      <c r="C79" s="19">
        <v>57</v>
      </c>
      <c r="D79" s="19">
        <v>164</v>
      </c>
      <c r="E79" s="19">
        <v>21.2</v>
      </c>
      <c r="F79" s="19">
        <v>74.5</v>
      </c>
      <c r="G79" s="19">
        <v>90</v>
      </c>
      <c r="H79" s="19">
        <v>59</v>
      </c>
      <c r="I79" s="19">
        <v>164</v>
      </c>
      <c r="J79" s="20">
        <v>191</v>
      </c>
      <c r="K79" s="19">
        <v>54</v>
      </c>
      <c r="L79" s="20">
        <v>104</v>
      </c>
      <c r="M79" s="19">
        <v>80.099999999999994</v>
      </c>
      <c r="N79" s="20">
        <v>89</v>
      </c>
      <c r="O79" s="19">
        <v>73.099999999999994</v>
      </c>
      <c r="P79" s="20">
        <v>81</v>
      </c>
      <c r="Q79" s="5"/>
      <c r="R79" s="5"/>
      <c r="S79" s="5"/>
    </row>
    <row r="80" spans="1:19" x14ac:dyDescent="0.2">
      <c r="A80" s="5">
        <f t="shared" si="1"/>
        <v>79</v>
      </c>
      <c r="B80" s="19">
        <v>30</v>
      </c>
      <c r="C80" s="19">
        <v>53</v>
      </c>
      <c r="D80" s="19">
        <v>156</v>
      </c>
      <c r="E80" s="19">
        <v>21.7</v>
      </c>
      <c r="F80" s="19">
        <v>85.1</v>
      </c>
      <c r="G80" s="19">
        <v>140</v>
      </c>
      <c r="H80" s="19">
        <v>88</v>
      </c>
      <c r="I80" s="19">
        <v>158</v>
      </c>
      <c r="J80" s="20">
        <v>189</v>
      </c>
      <c r="K80" s="19">
        <v>55</v>
      </c>
      <c r="L80" s="20">
        <v>178</v>
      </c>
      <c r="M80" s="19">
        <v>43.5</v>
      </c>
      <c r="N80" s="20">
        <v>47</v>
      </c>
      <c r="O80" s="19">
        <v>103.5</v>
      </c>
      <c r="P80" s="20">
        <v>106</v>
      </c>
      <c r="Q80" s="5"/>
      <c r="R80" s="5"/>
      <c r="S80" s="5"/>
    </row>
    <row r="81" spans="1:19" x14ac:dyDescent="0.2">
      <c r="A81" s="5">
        <f t="shared" si="1"/>
        <v>80</v>
      </c>
      <c r="B81" s="19">
        <v>32</v>
      </c>
      <c r="C81" s="19">
        <v>63</v>
      </c>
      <c r="D81" s="19">
        <v>169</v>
      </c>
      <c r="E81" s="19">
        <v>22.05</v>
      </c>
      <c r="F81" s="19">
        <v>74.2</v>
      </c>
      <c r="G81" s="19">
        <v>109</v>
      </c>
      <c r="H81" s="19">
        <v>72</v>
      </c>
      <c r="I81" s="19">
        <v>238</v>
      </c>
      <c r="J81" s="20">
        <v>188</v>
      </c>
      <c r="K81" s="19">
        <v>123</v>
      </c>
      <c r="L81" s="20">
        <v>186</v>
      </c>
      <c r="M81" s="19">
        <v>84.1</v>
      </c>
      <c r="N81" s="20">
        <v>59</v>
      </c>
      <c r="O81" s="19">
        <v>129.30000000000001</v>
      </c>
      <c r="P81" s="20">
        <v>92</v>
      </c>
      <c r="Q81" s="5"/>
      <c r="R81" s="5"/>
      <c r="S81" s="5"/>
    </row>
    <row r="82" spans="1:19" x14ac:dyDescent="0.2">
      <c r="A82" s="5">
        <f t="shared" si="1"/>
        <v>81</v>
      </c>
      <c r="B82" s="19">
        <v>34</v>
      </c>
      <c r="C82" s="19">
        <v>66</v>
      </c>
      <c r="D82" s="19">
        <v>155</v>
      </c>
      <c r="E82" s="19">
        <v>27.5</v>
      </c>
      <c r="F82" s="19">
        <v>79.5</v>
      </c>
      <c r="G82" s="19">
        <v>104</v>
      </c>
      <c r="H82" s="19">
        <v>69</v>
      </c>
      <c r="I82" s="19">
        <v>216</v>
      </c>
      <c r="J82" s="20">
        <v>188</v>
      </c>
      <c r="K82" s="19">
        <v>183</v>
      </c>
      <c r="L82" s="20">
        <v>305</v>
      </c>
      <c r="M82" s="19">
        <v>56.8</v>
      </c>
      <c r="N82" s="20">
        <v>50</v>
      </c>
      <c r="O82" s="19">
        <v>122.6</v>
      </c>
      <c r="P82" s="20">
        <v>76</v>
      </c>
      <c r="Q82" s="5"/>
      <c r="R82" s="5"/>
      <c r="S82" s="5"/>
    </row>
    <row r="83" spans="1:19" x14ac:dyDescent="0.2">
      <c r="A83" s="5">
        <f t="shared" si="1"/>
        <v>82</v>
      </c>
      <c r="B83" s="19">
        <v>37</v>
      </c>
      <c r="C83" s="19">
        <v>88.5</v>
      </c>
      <c r="D83" s="19">
        <v>171</v>
      </c>
      <c r="E83" s="19">
        <v>30.2</v>
      </c>
      <c r="F83" s="19">
        <v>85.2</v>
      </c>
      <c r="G83" s="19">
        <v>106</v>
      </c>
      <c r="H83" s="19">
        <v>53</v>
      </c>
      <c r="I83" s="19">
        <v>146</v>
      </c>
      <c r="J83" s="20">
        <v>173</v>
      </c>
      <c r="K83" s="19">
        <v>97</v>
      </c>
      <c r="L83" s="20">
        <v>178</v>
      </c>
      <c r="M83" s="19">
        <v>54</v>
      </c>
      <c r="N83" s="20">
        <v>58</v>
      </c>
      <c r="O83" s="19">
        <v>72.599999999999994</v>
      </c>
      <c r="P83" s="20">
        <v>79</v>
      </c>
      <c r="Q83" s="5"/>
      <c r="R83" s="5"/>
      <c r="S83" s="5"/>
    </row>
    <row r="84" spans="1:19" x14ac:dyDescent="0.2">
      <c r="A84" s="5">
        <f t="shared" si="1"/>
        <v>83</v>
      </c>
      <c r="B84" s="19">
        <v>32</v>
      </c>
      <c r="C84" s="19">
        <v>50</v>
      </c>
      <c r="D84" s="19">
        <v>164</v>
      </c>
      <c r="E84" s="19">
        <v>18.600000000000001</v>
      </c>
      <c r="F84" s="19">
        <v>78.3</v>
      </c>
      <c r="G84" s="19">
        <v>100</v>
      </c>
      <c r="H84" s="19">
        <v>67</v>
      </c>
      <c r="I84" s="19">
        <v>140</v>
      </c>
      <c r="J84" s="20">
        <v>169</v>
      </c>
      <c r="K84" s="19">
        <v>64</v>
      </c>
      <c r="L84" s="20">
        <v>135</v>
      </c>
      <c r="M84" s="19">
        <v>57.8</v>
      </c>
      <c r="N84" s="20">
        <v>65</v>
      </c>
      <c r="O84" s="19">
        <v>69.400000000000006</v>
      </c>
      <c r="P84" s="20">
        <v>76</v>
      </c>
      <c r="Q84" s="5"/>
      <c r="R84" s="5"/>
      <c r="S84" s="5"/>
    </row>
    <row r="87" spans="1:19" x14ac:dyDescent="0.2">
      <c r="N87" s="35"/>
      <c r="P87" s="35"/>
      <c r="Q87" s="5"/>
      <c r="R87" s="5"/>
      <c r="S87" s="5"/>
    </row>
    <row r="88" spans="1:19" x14ac:dyDescent="0.2">
      <c r="P88" s="35"/>
      <c r="Q88" s="5"/>
      <c r="R88" s="5"/>
      <c r="S88" s="5"/>
    </row>
    <row r="90" spans="1:19" x14ac:dyDescent="0.2">
      <c r="N90" s="35"/>
      <c r="P90" s="35"/>
      <c r="Q90" s="5"/>
      <c r="R90" s="5"/>
      <c r="S90" s="5"/>
    </row>
    <row r="91" spans="1:19" x14ac:dyDescent="0.2">
      <c r="P91" s="35"/>
      <c r="Q91" s="5"/>
      <c r="R91" s="5"/>
      <c r="S91" s="5"/>
    </row>
    <row r="92" spans="1:19" x14ac:dyDescent="0.2">
      <c r="Q92" s="5"/>
      <c r="R92" s="5"/>
      <c r="S92" s="5"/>
    </row>
    <row r="93" spans="1:19" x14ac:dyDescent="0.2">
      <c r="Q93" s="5"/>
      <c r="R93" s="5"/>
      <c r="S93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70F26-71AB-A14C-8306-2A593E0989C8}">
  <dimension ref="A1:S78"/>
  <sheetViews>
    <sheetView topLeftCell="E15" workbookViewId="0">
      <selection activeCell="K1" sqref="K1:R1048576"/>
    </sheetView>
  </sheetViews>
  <sheetFormatPr baseColWidth="10" defaultRowHeight="16" x14ac:dyDescent="0.2"/>
  <cols>
    <col min="11" max="11" width="0" hidden="1" customWidth="1"/>
    <col min="12" max="12" width="11" hidden="1" customWidth="1"/>
    <col min="13" max="18" width="0" hidden="1" customWidth="1"/>
  </cols>
  <sheetData>
    <row r="1" spans="1:19" x14ac:dyDescent="0.2">
      <c r="A1" t="s">
        <v>303</v>
      </c>
      <c r="B1" t="s">
        <v>304</v>
      </c>
      <c r="C1" t="s">
        <v>305</v>
      </c>
      <c r="D1" t="s">
        <v>306</v>
      </c>
      <c r="E1" t="s">
        <v>307</v>
      </c>
      <c r="F1" t="s">
        <v>308</v>
      </c>
      <c r="G1" t="s">
        <v>321</v>
      </c>
      <c r="H1" t="s">
        <v>309</v>
      </c>
      <c r="I1" t="s">
        <v>310</v>
      </c>
      <c r="J1" t="s">
        <v>311</v>
      </c>
      <c r="K1" t="s">
        <v>312</v>
      </c>
      <c r="L1" t="s">
        <v>313</v>
      </c>
      <c r="M1" t="s">
        <v>322</v>
      </c>
      <c r="N1" t="s">
        <v>314</v>
      </c>
      <c r="O1" t="s">
        <v>315</v>
      </c>
      <c r="P1" t="s">
        <v>316</v>
      </c>
      <c r="Q1" t="s">
        <v>317</v>
      </c>
      <c r="R1" t="s">
        <v>318</v>
      </c>
      <c r="S1" t="s">
        <v>319</v>
      </c>
    </row>
    <row r="2" spans="1:19" x14ac:dyDescent="0.2">
      <c r="A2">
        <v>30</v>
      </c>
      <c r="B2">
        <v>21</v>
      </c>
      <c r="C2">
        <v>63</v>
      </c>
      <c r="D2">
        <v>158</v>
      </c>
      <c r="E2" s="36">
        <v>25.2</v>
      </c>
      <c r="F2" s="37">
        <v>70</v>
      </c>
      <c r="G2">
        <v>96</v>
      </c>
      <c r="H2">
        <v>64</v>
      </c>
      <c r="I2">
        <v>140</v>
      </c>
      <c r="J2">
        <v>165</v>
      </c>
      <c r="K2">
        <v>75</v>
      </c>
      <c r="L2">
        <v>130</v>
      </c>
      <c r="M2">
        <v>61</v>
      </c>
      <c r="N2">
        <v>79</v>
      </c>
      <c r="O2">
        <v>64</v>
      </c>
      <c r="P2">
        <v>60</v>
      </c>
      <c r="Q2">
        <v>15</v>
      </c>
      <c r="R2">
        <v>26</v>
      </c>
      <c r="S2">
        <v>0</v>
      </c>
    </row>
    <row r="3" spans="1:19" x14ac:dyDescent="0.2">
      <c r="A3">
        <v>25</v>
      </c>
      <c r="B3">
        <v>20</v>
      </c>
      <c r="C3">
        <v>112</v>
      </c>
      <c r="D3">
        <v>164</v>
      </c>
      <c r="E3" s="36">
        <v>41.6</v>
      </c>
      <c r="F3" s="37">
        <v>77</v>
      </c>
      <c r="G3">
        <v>80</v>
      </c>
      <c r="H3">
        <v>60</v>
      </c>
      <c r="I3">
        <v>126</v>
      </c>
      <c r="J3">
        <v>168</v>
      </c>
      <c r="K3">
        <v>81</v>
      </c>
      <c r="L3">
        <v>119</v>
      </c>
      <c r="M3">
        <v>36</v>
      </c>
      <c r="N3">
        <v>42</v>
      </c>
      <c r="O3">
        <v>74</v>
      </c>
      <c r="P3">
        <v>103</v>
      </c>
      <c r="Q3">
        <v>16</v>
      </c>
      <c r="R3">
        <v>24</v>
      </c>
      <c r="S3">
        <v>0</v>
      </c>
    </row>
    <row r="4" spans="1:19" x14ac:dyDescent="0.2">
      <c r="A4">
        <v>41</v>
      </c>
      <c r="B4">
        <v>19</v>
      </c>
      <c r="C4">
        <v>77.8</v>
      </c>
      <c r="D4">
        <v>165</v>
      </c>
      <c r="E4" s="36">
        <v>28.5</v>
      </c>
      <c r="F4" s="37">
        <v>93</v>
      </c>
      <c r="G4">
        <v>102</v>
      </c>
      <c r="H4">
        <v>64</v>
      </c>
      <c r="I4">
        <v>149</v>
      </c>
      <c r="J4">
        <v>183</v>
      </c>
      <c r="K4">
        <v>105</v>
      </c>
      <c r="L4">
        <v>174</v>
      </c>
      <c r="M4">
        <v>56</v>
      </c>
      <c r="N4">
        <v>57</v>
      </c>
      <c r="O4">
        <v>73</v>
      </c>
      <c r="P4">
        <v>92</v>
      </c>
      <c r="Q4">
        <v>21</v>
      </c>
      <c r="R4">
        <v>35</v>
      </c>
      <c r="S4">
        <v>0</v>
      </c>
    </row>
    <row r="5" spans="1:19" x14ac:dyDescent="0.2">
      <c r="A5">
        <v>73</v>
      </c>
      <c r="B5" s="38">
        <v>35</v>
      </c>
      <c r="C5" s="38">
        <v>68</v>
      </c>
      <c r="D5" s="38">
        <v>165</v>
      </c>
      <c r="E5" s="38">
        <v>25</v>
      </c>
      <c r="F5" s="38">
        <v>68</v>
      </c>
      <c r="G5" s="38"/>
      <c r="H5" s="38"/>
      <c r="I5" s="38">
        <v>146</v>
      </c>
      <c r="J5" s="38">
        <v>190</v>
      </c>
      <c r="K5" s="38">
        <v>37</v>
      </c>
      <c r="L5" s="38">
        <v>103</v>
      </c>
      <c r="M5" s="38">
        <v>64</v>
      </c>
      <c r="N5" s="38">
        <v>93</v>
      </c>
      <c r="O5" s="38">
        <v>36</v>
      </c>
      <c r="P5" s="38">
        <v>76</v>
      </c>
      <c r="Q5" s="38">
        <v>7</v>
      </c>
      <c r="R5" s="38">
        <v>21</v>
      </c>
      <c r="S5">
        <v>0</v>
      </c>
    </row>
    <row r="6" spans="1:19" x14ac:dyDescent="0.2">
      <c r="A6">
        <v>7</v>
      </c>
      <c r="B6">
        <v>29</v>
      </c>
      <c r="C6">
        <v>92</v>
      </c>
      <c r="D6">
        <v>165</v>
      </c>
      <c r="E6" s="36">
        <v>33.700000000000003</v>
      </c>
      <c r="F6" s="37">
        <v>90</v>
      </c>
      <c r="G6">
        <v>110</v>
      </c>
      <c r="H6">
        <v>70</v>
      </c>
      <c r="I6">
        <v>149</v>
      </c>
      <c r="J6">
        <v>195</v>
      </c>
      <c r="K6">
        <v>144</v>
      </c>
      <c r="L6">
        <v>227</v>
      </c>
      <c r="M6">
        <v>49</v>
      </c>
      <c r="N6">
        <v>54</v>
      </c>
      <c r="O6">
        <v>71</v>
      </c>
      <c r="P6">
        <v>96</v>
      </c>
      <c r="Q6">
        <v>29</v>
      </c>
      <c r="R6">
        <v>45</v>
      </c>
      <c r="S6">
        <v>0</v>
      </c>
    </row>
    <row r="7" spans="1:19" x14ac:dyDescent="0.2">
      <c r="A7">
        <v>24</v>
      </c>
      <c r="B7">
        <v>18</v>
      </c>
      <c r="C7">
        <v>79</v>
      </c>
      <c r="D7">
        <v>160</v>
      </c>
      <c r="E7" s="36">
        <v>30.8</v>
      </c>
      <c r="F7" s="37">
        <v>66</v>
      </c>
      <c r="G7">
        <v>106</v>
      </c>
      <c r="H7">
        <v>60</v>
      </c>
      <c r="I7">
        <v>167</v>
      </c>
      <c r="J7">
        <v>195</v>
      </c>
      <c r="K7">
        <v>150</v>
      </c>
      <c r="L7">
        <v>291</v>
      </c>
      <c r="M7">
        <v>22</v>
      </c>
      <c r="N7">
        <v>40</v>
      </c>
      <c r="O7">
        <v>115</v>
      </c>
      <c r="P7">
        <v>97</v>
      </c>
      <c r="Q7">
        <v>30</v>
      </c>
      <c r="R7">
        <v>58</v>
      </c>
      <c r="S7">
        <v>0</v>
      </c>
    </row>
    <row r="8" spans="1:19" x14ac:dyDescent="0.2">
      <c r="A8">
        <v>8</v>
      </c>
      <c r="B8">
        <v>26</v>
      </c>
      <c r="C8">
        <v>71</v>
      </c>
      <c r="D8">
        <v>158</v>
      </c>
      <c r="E8" s="36">
        <v>28.4</v>
      </c>
      <c r="F8" s="37">
        <v>80</v>
      </c>
      <c r="G8">
        <v>110</v>
      </c>
      <c r="H8">
        <v>70</v>
      </c>
      <c r="I8">
        <v>204</v>
      </c>
      <c r="J8">
        <v>196</v>
      </c>
      <c r="K8">
        <v>228</v>
      </c>
      <c r="L8">
        <v>372</v>
      </c>
      <c r="M8">
        <v>39</v>
      </c>
      <c r="N8">
        <v>36</v>
      </c>
      <c r="O8">
        <v>119</v>
      </c>
      <c r="P8">
        <v>86</v>
      </c>
      <c r="Q8">
        <v>46</v>
      </c>
      <c r="R8">
        <v>74</v>
      </c>
      <c r="S8">
        <v>0</v>
      </c>
    </row>
    <row r="9" spans="1:19" x14ac:dyDescent="0.2">
      <c r="A9">
        <v>51</v>
      </c>
      <c r="B9">
        <v>17</v>
      </c>
      <c r="C9">
        <v>50</v>
      </c>
      <c r="D9">
        <v>163</v>
      </c>
      <c r="E9" s="36">
        <v>18.8</v>
      </c>
      <c r="F9" s="37">
        <v>63</v>
      </c>
      <c r="G9">
        <v>120</v>
      </c>
      <c r="H9">
        <v>60</v>
      </c>
      <c r="I9">
        <v>131</v>
      </c>
      <c r="J9">
        <v>196</v>
      </c>
      <c r="K9">
        <v>122</v>
      </c>
      <c r="L9">
        <v>173</v>
      </c>
      <c r="M9">
        <v>57</v>
      </c>
      <c r="N9">
        <v>57</v>
      </c>
      <c r="O9">
        <v>50</v>
      </c>
      <c r="P9">
        <v>104</v>
      </c>
      <c r="Q9">
        <v>24</v>
      </c>
      <c r="R9">
        <v>35</v>
      </c>
      <c r="S9">
        <v>0</v>
      </c>
    </row>
    <row r="10" spans="1:19" x14ac:dyDescent="0.2">
      <c r="A10">
        <v>11</v>
      </c>
      <c r="B10">
        <v>18</v>
      </c>
      <c r="C10">
        <v>57</v>
      </c>
      <c r="D10">
        <v>153</v>
      </c>
      <c r="E10" s="36">
        <v>24.3</v>
      </c>
      <c r="F10" s="37">
        <v>81</v>
      </c>
      <c r="G10">
        <v>100</v>
      </c>
      <c r="H10">
        <v>60</v>
      </c>
      <c r="I10">
        <v>121</v>
      </c>
      <c r="J10">
        <v>199</v>
      </c>
      <c r="K10">
        <v>78</v>
      </c>
      <c r="L10">
        <v>229</v>
      </c>
      <c r="M10">
        <v>46</v>
      </c>
      <c r="N10">
        <v>39</v>
      </c>
      <c r="O10">
        <v>59</v>
      </c>
      <c r="P10">
        <v>114</v>
      </c>
      <c r="Q10">
        <v>16</v>
      </c>
      <c r="R10">
        <v>46</v>
      </c>
      <c r="S10">
        <v>0</v>
      </c>
    </row>
    <row r="11" spans="1:19" x14ac:dyDescent="0.2">
      <c r="A11">
        <v>61</v>
      </c>
      <c r="B11">
        <v>20</v>
      </c>
      <c r="C11">
        <v>60</v>
      </c>
      <c r="D11">
        <v>166</v>
      </c>
      <c r="E11" s="36">
        <v>21.7</v>
      </c>
      <c r="F11" s="37">
        <v>75</v>
      </c>
      <c r="G11">
        <v>120</v>
      </c>
      <c r="H11">
        <v>70</v>
      </c>
      <c r="I11">
        <v>123</v>
      </c>
      <c r="J11">
        <v>200</v>
      </c>
      <c r="K11">
        <v>54</v>
      </c>
      <c r="L11">
        <v>255</v>
      </c>
      <c r="M11">
        <v>47</v>
      </c>
      <c r="N11">
        <v>34</v>
      </c>
      <c r="O11">
        <v>65</v>
      </c>
      <c r="P11">
        <v>115</v>
      </c>
      <c r="Q11">
        <v>11</v>
      </c>
      <c r="R11">
        <v>51</v>
      </c>
      <c r="S11">
        <v>0</v>
      </c>
    </row>
    <row r="12" spans="1:19" x14ac:dyDescent="0.2">
      <c r="A12">
        <v>60</v>
      </c>
      <c r="B12">
        <v>24</v>
      </c>
      <c r="C12">
        <v>80</v>
      </c>
      <c r="D12">
        <v>159</v>
      </c>
      <c r="E12" s="36">
        <v>31.6</v>
      </c>
      <c r="F12" s="37">
        <v>77</v>
      </c>
      <c r="G12">
        <v>120</v>
      </c>
      <c r="H12">
        <v>80</v>
      </c>
      <c r="I12">
        <v>151</v>
      </c>
      <c r="J12">
        <v>201</v>
      </c>
      <c r="K12">
        <v>188</v>
      </c>
      <c r="L12">
        <v>322</v>
      </c>
      <c r="M12">
        <v>47</v>
      </c>
      <c r="N12">
        <v>42</v>
      </c>
      <c r="O12">
        <v>67</v>
      </c>
      <c r="P12">
        <v>94</v>
      </c>
      <c r="Q12">
        <v>38</v>
      </c>
      <c r="R12">
        <v>64</v>
      </c>
      <c r="S12">
        <v>0</v>
      </c>
    </row>
    <row r="13" spans="1:19" x14ac:dyDescent="0.2">
      <c r="A13">
        <v>67</v>
      </c>
      <c r="B13" s="38">
        <v>37</v>
      </c>
      <c r="C13" s="38">
        <v>72</v>
      </c>
      <c r="D13" s="38">
        <v>165</v>
      </c>
      <c r="E13" s="38">
        <v>26.4</v>
      </c>
      <c r="F13" s="38"/>
      <c r="G13" s="38">
        <v>100</v>
      </c>
      <c r="H13" s="38">
        <v>60</v>
      </c>
      <c r="I13" s="38">
        <v>139</v>
      </c>
      <c r="J13" s="38">
        <v>206</v>
      </c>
      <c r="K13" s="38">
        <v>110</v>
      </c>
      <c r="L13" s="38">
        <v>295</v>
      </c>
      <c r="M13" s="38">
        <v>27</v>
      </c>
      <c r="N13" s="38">
        <v>48</v>
      </c>
      <c r="O13" s="38">
        <v>97</v>
      </c>
      <c r="P13" s="38">
        <v>99</v>
      </c>
      <c r="Q13" s="38">
        <v>22</v>
      </c>
      <c r="R13" s="38">
        <v>59</v>
      </c>
      <c r="S13">
        <v>0</v>
      </c>
    </row>
    <row r="14" spans="1:19" x14ac:dyDescent="0.2">
      <c r="A14">
        <v>12</v>
      </c>
      <c r="B14">
        <v>28</v>
      </c>
      <c r="C14">
        <v>63</v>
      </c>
      <c r="D14">
        <v>158</v>
      </c>
      <c r="E14" s="36">
        <v>25.2</v>
      </c>
      <c r="F14" s="37">
        <v>77</v>
      </c>
      <c r="G14">
        <v>120</v>
      </c>
      <c r="H14">
        <v>70</v>
      </c>
      <c r="I14">
        <v>168</v>
      </c>
      <c r="J14">
        <v>210</v>
      </c>
      <c r="K14">
        <v>177</v>
      </c>
      <c r="L14">
        <v>489</v>
      </c>
      <c r="M14">
        <v>43</v>
      </c>
      <c r="N14">
        <v>46</v>
      </c>
      <c r="O14">
        <v>90</v>
      </c>
      <c r="P14" t="s">
        <v>320</v>
      </c>
      <c r="Q14">
        <v>35</v>
      </c>
      <c r="R14" t="s">
        <v>320</v>
      </c>
      <c r="S14">
        <v>0</v>
      </c>
    </row>
    <row r="15" spans="1:19" x14ac:dyDescent="0.2">
      <c r="A15">
        <v>39</v>
      </c>
      <c r="B15">
        <v>30</v>
      </c>
      <c r="C15">
        <v>59</v>
      </c>
      <c r="D15">
        <v>158</v>
      </c>
      <c r="E15" s="36">
        <v>23.6</v>
      </c>
      <c r="F15" s="37">
        <v>64</v>
      </c>
      <c r="G15">
        <v>110</v>
      </c>
      <c r="H15">
        <v>60</v>
      </c>
      <c r="I15">
        <v>172</v>
      </c>
      <c r="J15">
        <v>210</v>
      </c>
      <c r="K15">
        <v>195</v>
      </c>
      <c r="L15">
        <v>392</v>
      </c>
      <c r="M15">
        <v>42</v>
      </c>
      <c r="N15">
        <v>35</v>
      </c>
      <c r="O15">
        <v>91</v>
      </c>
      <c r="P15">
        <v>96</v>
      </c>
      <c r="Q15">
        <v>39</v>
      </c>
      <c r="R15">
        <v>78</v>
      </c>
      <c r="S15">
        <v>0</v>
      </c>
    </row>
    <row r="16" spans="1:19" x14ac:dyDescent="0.2">
      <c r="A16">
        <v>50</v>
      </c>
      <c r="B16">
        <v>37</v>
      </c>
      <c r="C16">
        <v>55</v>
      </c>
      <c r="D16">
        <v>153</v>
      </c>
      <c r="E16" s="36">
        <v>23.4</v>
      </c>
      <c r="F16" s="37"/>
      <c r="G16">
        <v>100</v>
      </c>
      <c r="H16">
        <v>60</v>
      </c>
      <c r="I16">
        <v>188</v>
      </c>
      <c r="J16">
        <v>210</v>
      </c>
      <c r="K16">
        <v>198</v>
      </c>
      <c r="L16">
        <v>450</v>
      </c>
      <c r="M16">
        <v>45</v>
      </c>
      <c r="N16">
        <v>39</v>
      </c>
      <c r="O16">
        <v>104</v>
      </c>
      <c r="P16" t="s">
        <v>320</v>
      </c>
      <c r="Q16">
        <v>40</v>
      </c>
      <c r="R16" t="s">
        <v>320</v>
      </c>
      <c r="S16">
        <v>0</v>
      </c>
    </row>
    <row r="17" spans="1:19" x14ac:dyDescent="0.2">
      <c r="A17">
        <v>56</v>
      </c>
      <c r="B17">
        <v>31</v>
      </c>
      <c r="C17">
        <v>61</v>
      </c>
      <c r="D17">
        <v>155</v>
      </c>
      <c r="E17" s="36">
        <v>25.3</v>
      </c>
      <c r="F17" s="37">
        <v>81</v>
      </c>
      <c r="G17">
        <v>120</v>
      </c>
      <c r="H17">
        <v>60</v>
      </c>
      <c r="I17">
        <v>178</v>
      </c>
      <c r="J17">
        <v>210</v>
      </c>
      <c r="K17">
        <v>124</v>
      </c>
      <c r="L17">
        <v>200</v>
      </c>
      <c r="M17">
        <v>41</v>
      </c>
      <c r="N17">
        <v>45</v>
      </c>
      <c r="O17">
        <v>112</v>
      </c>
      <c r="P17">
        <v>126</v>
      </c>
      <c r="Q17">
        <v>25</v>
      </c>
      <c r="R17">
        <v>40</v>
      </c>
      <c r="S17">
        <v>0</v>
      </c>
    </row>
    <row r="18" spans="1:19" x14ac:dyDescent="0.2">
      <c r="A18">
        <v>9</v>
      </c>
      <c r="B18">
        <v>31</v>
      </c>
      <c r="C18">
        <v>75</v>
      </c>
      <c r="D18">
        <v>159</v>
      </c>
      <c r="E18" s="36">
        <v>29.6</v>
      </c>
      <c r="F18" s="37">
        <v>90</v>
      </c>
      <c r="G18">
        <v>110</v>
      </c>
      <c r="H18">
        <v>70</v>
      </c>
      <c r="I18">
        <v>188</v>
      </c>
      <c r="J18">
        <v>211</v>
      </c>
      <c r="K18">
        <v>148</v>
      </c>
      <c r="L18">
        <v>216</v>
      </c>
      <c r="M18">
        <v>55</v>
      </c>
      <c r="N18">
        <v>57</v>
      </c>
      <c r="O18">
        <v>104</v>
      </c>
      <c r="P18">
        <v>110</v>
      </c>
      <c r="Q18">
        <v>30</v>
      </c>
      <c r="R18">
        <v>43</v>
      </c>
      <c r="S18">
        <v>0</v>
      </c>
    </row>
    <row r="19" spans="1:19" x14ac:dyDescent="0.2">
      <c r="A19">
        <v>42</v>
      </c>
      <c r="B19">
        <v>23</v>
      </c>
      <c r="C19">
        <v>70</v>
      </c>
      <c r="D19">
        <v>158</v>
      </c>
      <c r="E19" s="36">
        <v>28</v>
      </c>
      <c r="F19" s="37">
        <v>69</v>
      </c>
      <c r="G19">
        <v>110</v>
      </c>
      <c r="H19">
        <v>70</v>
      </c>
      <c r="I19">
        <v>160</v>
      </c>
      <c r="J19">
        <v>211</v>
      </c>
      <c r="K19">
        <v>149</v>
      </c>
      <c r="L19">
        <v>262</v>
      </c>
      <c r="M19">
        <v>54</v>
      </c>
      <c r="N19">
        <v>46</v>
      </c>
      <c r="O19">
        <v>76</v>
      </c>
      <c r="P19">
        <v>113</v>
      </c>
      <c r="Q19">
        <v>30</v>
      </c>
      <c r="R19">
        <v>52</v>
      </c>
      <c r="S19">
        <v>0</v>
      </c>
    </row>
    <row r="20" spans="1:19" x14ac:dyDescent="0.2">
      <c r="A20">
        <v>20</v>
      </c>
      <c r="B20">
        <v>22</v>
      </c>
      <c r="C20">
        <v>57</v>
      </c>
      <c r="D20">
        <v>151</v>
      </c>
      <c r="E20" s="36">
        <v>24.9</v>
      </c>
      <c r="F20" s="37">
        <v>65</v>
      </c>
      <c r="G20">
        <v>110</v>
      </c>
      <c r="H20">
        <v>70</v>
      </c>
      <c r="I20">
        <v>164</v>
      </c>
      <c r="J20">
        <v>214</v>
      </c>
      <c r="K20">
        <v>103</v>
      </c>
      <c r="L20">
        <v>162</v>
      </c>
      <c r="M20">
        <v>38</v>
      </c>
      <c r="N20">
        <v>52</v>
      </c>
      <c r="O20">
        <v>106</v>
      </c>
      <c r="P20">
        <v>129</v>
      </c>
      <c r="Q20">
        <v>21</v>
      </c>
      <c r="R20">
        <v>32</v>
      </c>
      <c r="S20">
        <v>0</v>
      </c>
    </row>
    <row r="21" spans="1:19" x14ac:dyDescent="0.2">
      <c r="A21">
        <v>98</v>
      </c>
      <c r="B21" s="38">
        <v>29</v>
      </c>
      <c r="C21" s="38">
        <v>80</v>
      </c>
      <c r="D21" s="38">
        <v>157</v>
      </c>
      <c r="E21" s="38">
        <v>32.5</v>
      </c>
      <c r="F21" s="38">
        <v>72</v>
      </c>
      <c r="G21" s="38">
        <v>100</v>
      </c>
      <c r="H21" s="38">
        <v>70</v>
      </c>
      <c r="I21" s="38">
        <v>176</v>
      </c>
      <c r="J21" s="38">
        <v>214</v>
      </c>
      <c r="K21" s="38">
        <v>95</v>
      </c>
      <c r="L21" s="38">
        <v>300</v>
      </c>
      <c r="M21" s="38">
        <v>42</v>
      </c>
      <c r="N21" s="38">
        <v>47</v>
      </c>
      <c r="O21" s="38">
        <v>129</v>
      </c>
      <c r="P21" s="38">
        <v>107</v>
      </c>
      <c r="Q21" s="38">
        <v>19</v>
      </c>
      <c r="R21" s="38">
        <v>60</v>
      </c>
      <c r="S21">
        <v>0</v>
      </c>
    </row>
    <row r="22" spans="1:19" x14ac:dyDescent="0.2">
      <c r="A22">
        <v>38</v>
      </c>
      <c r="B22">
        <v>19</v>
      </c>
      <c r="C22">
        <v>60</v>
      </c>
      <c r="D22">
        <v>155</v>
      </c>
      <c r="E22" s="36">
        <v>24.9</v>
      </c>
      <c r="F22" s="37">
        <v>69</v>
      </c>
      <c r="G22">
        <v>120</v>
      </c>
      <c r="H22">
        <v>65</v>
      </c>
      <c r="I22">
        <v>164</v>
      </c>
      <c r="J22">
        <v>215</v>
      </c>
      <c r="K22">
        <v>80</v>
      </c>
      <c r="L22">
        <v>132</v>
      </c>
      <c r="M22">
        <v>43</v>
      </c>
      <c r="N22">
        <v>61</v>
      </c>
      <c r="O22">
        <v>105</v>
      </c>
      <c r="P22">
        <v>128</v>
      </c>
      <c r="Q22">
        <v>16</v>
      </c>
      <c r="R22">
        <v>26</v>
      </c>
      <c r="S22">
        <v>0</v>
      </c>
    </row>
    <row r="23" spans="1:19" x14ac:dyDescent="0.2">
      <c r="A23">
        <v>57</v>
      </c>
      <c r="B23">
        <v>16</v>
      </c>
      <c r="C23">
        <v>69</v>
      </c>
      <c r="D23">
        <v>169</v>
      </c>
      <c r="E23" s="36">
        <v>24.1</v>
      </c>
      <c r="F23" s="37">
        <v>69</v>
      </c>
      <c r="G23">
        <v>110</v>
      </c>
      <c r="H23">
        <v>70</v>
      </c>
      <c r="I23">
        <v>163</v>
      </c>
      <c r="J23">
        <v>215</v>
      </c>
      <c r="K23">
        <v>152</v>
      </c>
      <c r="L23">
        <v>288</v>
      </c>
      <c r="M23">
        <v>42</v>
      </c>
      <c r="N23">
        <v>31</v>
      </c>
      <c r="O23">
        <v>91</v>
      </c>
      <c r="P23">
        <v>126</v>
      </c>
      <c r="Q23">
        <v>30</v>
      </c>
      <c r="R23">
        <v>58</v>
      </c>
      <c r="S23">
        <v>0</v>
      </c>
    </row>
    <row r="24" spans="1:19" x14ac:dyDescent="0.2">
      <c r="A24">
        <v>29</v>
      </c>
      <c r="B24">
        <v>22</v>
      </c>
      <c r="C24">
        <v>59</v>
      </c>
      <c r="D24">
        <v>153</v>
      </c>
      <c r="E24" s="36">
        <v>25.2</v>
      </c>
      <c r="F24" s="37">
        <v>59</v>
      </c>
      <c r="G24">
        <v>100</v>
      </c>
      <c r="H24">
        <v>58</v>
      </c>
      <c r="I24">
        <v>152</v>
      </c>
      <c r="J24">
        <v>216</v>
      </c>
      <c r="K24">
        <v>176</v>
      </c>
      <c r="L24">
        <v>251</v>
      </c>
      <c r="M24">
        <v>37</v>
      </c>
      <c r="N24">
        <v>55</v>
      </c>
      <c r="O24">
        <v>80</v>
      </c>
      <c r="P24">
        <v>112</v>
      </c>
      <c r="Q24">
        <v>35</v>
      </c>
      <c r="R24">
        <v>50</v>
      </c>
      <c r="S24">
        <v>0</v>
      </c>
    </row>
    <row r="25" spans="1:19" x14ac:dyDescent="0.2">
      <c r="A25">
        <v>3</v>
      </c>
      <c r="B25">
        <v>24</v>
      </c>
      <c r="C25">
        <v>93</v>
      </c>
      <c r="D25">
        <v>175</v>
      </c>
      <c r="E25" s="36">
        <v>30.3</v>
      </c>
      <c r="F25" s="37">
        <v>82</v>
      </c>
      <c r="G25">
        <v>110</v>
      </c>
      <c r="H25">
        <v>70</v>
      </c>
      <c r="I25">
        <v>144</v>
      </c>
      <c r="J25">
        <v>217</v>
      </c>
      <c r="K25">
        <v>68</v>
      </c>
      <c r="L25">
        <v>124</v>
      </c>
      <c r="M25">
        <v>68</v>
      </c>
      <c r="N25">
        <v>62</v>
      </c>
      <c r="O25">
        <v>62</v>
      </c>
      <c r="P25">
        <v>130</v>
      </c>
      <c r="Q25">
        <v>14</v>
      </c>
      <c r="R25">
        <v>25</v>
      </c>
      <c r="S25">
        <v>0</v>
      </c>
    </row>
    <row r="26" spans="1:19" x14ac:dyDescent="0.2">
      <c r="A26">
        <v>37</v>
      </c>
      <c r="B26">
        <v>18</v>
      </c>
      <c r="C26">
        <v>48</v>
      </c>
      <c r="D26">
        <v>154</v>
      </c>
      <c r="E26" s="36">
        <v>20.2</v>
      </c>
      <c r="F26" s="37">
        <v>68</v>
      </c>
      <c r="G26">
        <v>90</v>
      </c>
      <c r="H26">
        <v>58</v>
      </c>
      <c r="I26">
        <v>158</v>
      </c>
      <c r="J26">
        <v>217</v>
      </c>
      <c r="K26">
        <v>72</v>
      </c>
      <c r="L26">
        <v>172</v>
      </c>
      <c r="M26">
        <v>61</v>
      </c>
      <c r="N26">
        <v>61</v>
      </c>
      <c r="O26">
        <v>83</v>
      </c>
      <c r="P26">
        <v>122</v>
      </c>
      <c r="Q26">
        <v>14</v>
      </c>
      <c r="R26">
        <v>34</v>
      </c>
      <c r="S26">
        <v>0</v>
      </c>
    </row>
    <row r="27" spans="1:19" x14ac:dyDescent="0.2">
      <c r="A27">
        <v>34</v>
      </c>
      <c r="B27">
        <v>20</v>
      </c>
      <c r="C27">
        <v>55</v>
      </c>
      <c r="D27">
        <v>159</v>
      </c>
      <c r="E27" s="36">
        <v>21.7</v>
      </c>
      <c r="F27" s="37">
        <v>56</v>
      </c>
      <c r="G27">
        <v>90</v>
      </c>
      <c r="H27">
        <v>60</v>
      </c>
      <c r="I27">
        <v>193</v>
      </c>
      <c r="J27">
        <v>218</v>
      </c>
      <c r="K27">
        <v>155</v>
      </c>
      <c r="L27">
        <v>270</v>
      </c>
      <c r="M27">
        <v>48</v>
      </c>
      <c r="N27">
        <v>47</v>
      </c>
      <c r="O27">
        <v>115</v>
      </c>
      <c r="P27">
        <v>117</v>
      </c>
      <c r="Q27">
        <v>31</v>
      </c>
      <c r="R27">
        <v>54</v>
      </c>
      <c r="S27">
        <v>0</v>
      </c>
    </row>
    <row r="28" spans="1:19" x14ac:dyDescent="0.2">
      <c r="A28">
        <v>18</v>
      </c>
      <c r="B28">
        <v>24</v>
      </c>
      <c r="C28">
        <v>65</v>
      </c>
      <c r="D28">
        <v>154</v>
      </c>
      <c r="E28" s="36">
        <v>27.4</v>
      </c>
      <c r="F28" s="37">
        <v>71</v>
      </c>
      <c r="G28">
        <v>100</v>
      </c>
      <c r="H28">
        <v>60</v>
      </c>
      <c r="I28">
        <v>167</v>
      </c>
      <c r="J28">
        <v>223</v>
      </c>
      <c r="K28">
        <v>165</v>
      </c>
      <c r="L28">
        <v>363</v>
      </c>
      <c r="M28">
        <v>45</v>
      </c>
      <c r="N28">
        <v>45</v>
      </c>
      <c r="O28">
        <v>89</v>
      </c>
      <c r="P28">
        <v>105</v>
      </c>
      <c r="Q28">
        <v>33</v>
      </c>
      <c r="R28">
        <v>73</v>
      </c>
      <c r="S28">
        <v>0</v>
      </c>
    </row>
    <row r="29" spans="1:19" x14ac:dyDescent="0.2">
      <c r="A29">
        <v>46</v>
      </c>
      <c r="B29">
        <v>24</v>
      </c>
      <c r="C29">
        <v>91</v>
      </c>
      <c r="D29">
        <v>157</v>
      </c>
      <c r="E29" s="36">
        <v>36.9</v>
      </c>
      <c r="F29" s="37">
        <v>72</v>
      </c>
      <c r="G29">
        <v>120</v>
      </c>
      <c r="H29">
        <v>70</v>
      </c>
      <c r="I29">
        <v>164</v>
      </c>
      <c r="J29">
        <v>224</v>
      </c>
      <c r="K29">
        <v>197</v>
      </c>
      <c r="L29">
        <v>434</v>
      </c>
      <c r="M29">
        <v>47</v>
      </c>
      <c r="N29">
        <v>40</v>
      </c>
      <c r="O29">
        <v>78</v>
      </c>
      <c r="P29" t="s">
        <v>320</v>
      </c>
      <c r="Q29">
        <v>39</v>
      </c>
      <c r="R29" t="s">
        <v>320</v>
      </c>
      <c r="S29">
        <v>0</v>
      </c>
    </row>
    <row r="30" spans="1:19" x14ac:dyDescent="0.2">
      <c r="A30">
        <v>2</v>
      </c>
      <c r="B30">
        <v>22</v>
      </c>
      <c r="C30">
        <v>53</v>
      </c>
      <c r="D30">
        <v>153</v>
      </c>
      <c r="E30" s="36">
        <v>22.6</v>
      </c>
      <c r="F30" s="37">
        <v>74</v>
      </c>
      <c r="G30">
        <v>110</v>
      </c>
      <c r="H30">
        <v>70</v>
      </c>
      <c r="I30">
        <v>145</v>
      </c>
      <c r="J30">
        <v>228</v>
      </c>
      <c r="K30">
        <v>85</v>
      </c>
      <c r="L30">
        <v>252</v>
      </c>
      <c r="M30">
        <v>59</v>
      </c>
      <c r="N30">
        <v>43</v>
      </c>
      <c r="O30">
        <v>69</v>
      </c>
      <c r="P30">
        <v>135</v>
      </c>
      <c r="Q30">
        <v>17</v>
      </c>
      <c r="R30">
        <v>50</v>
      </c>
      <c r="S30">
        <v>0</v>
      </c>
    </row>
    <row r="31" spans="1:19" x14ac:dyDescent="0.2">
      <c r="A31">
        <v>14</v>
      </c>
      <c r="B31">
        <v>23</v>
      </c>
      <c r="C31">
        <v>64</v>
      </c>
      <c r="D31">
        <v>149</v>
      </c>
      <c r="E31" s="36">
        <v>28.8</v>
      </c>
      <c r="F31" s="37">
        <v>82</v>
      </c>
      <c r="G31">
        <v>110</v>
      </c>
      <c r="H31">
        <v>70</v>
      </c>
      <c r="I31">
        <v>175</v>
      </c>
      <c r="J31">
        <v>228</v>
      </c>
      <c r="K31">
        <v>116</v>
      </c>
      <c r="L31">
        <v>217</v>
      </c>
      <c r="M31">
        <v>58</v>
      </c>
      <c r="N31">
        <v>50</v>
      </c>
      <c r="O31">
        <v>94</v>
      </c>
      <c r="P31">
        <v>135</v>
      </c>
      <c r="Q31">
        <v>23</v>
      </c>
      <c r="R31">
        <v>43</v>
      </c>
      <c r="S31">
        <v>0</v>
      </c>
    </row>
    <row r="32" spans="1:19" x14ac:dyDescent="0.2">
      <c r="A32">
        <v>21</v>
      </c>
      <c r="B32">
        <v>16</v>
      </c>
      <c r="C32">
        <v>59</v>
      </c>
      <c r="D32">
        <v>163</v>
      </c>
      <c r="E32" s="36">
        <v>27.9</v>
      </c>
      <c r="F32" s="37">
        <v>73</v>
      </c>
      <c r="G32">
        <v>120</v>
      </c>
      <c r="H32">
        <v>60</v>
      </c>
      <c r="I32">
        <v>166</v>
      </c>
      <c r="J32">
        <v>228</v>
      </c>
      <c r="K32">
        <v>97</v>
      </c>
      <c r="L32">
        <v>212</v>
      </c>
      <c r="M32">
        <v>69</v>
      </c>
      <c r="N32">
        <v>76</v>
      </c>
      <c r="O32">
        <v>78</v>
      </c>
      <c r="P32">
        <v>110</v>
      </c>
      <c r="Q32">
        <v>19</v>
      </c>
      <c r="R32">
        <v>42</v>
      </c>
      <c r="S32">
        <v>0</v>
      </c>
    </row>
    <row r="33" spans="1:19" x14ac:dyDescent="0.2">
      <c r="A33">
        <v>22</v>
      </c>
      <c r="B33">
        <v>33</v>
      </c>
      <c r="C33">
        <v>115</v>
      </c>
      <c r="D33">
        <v>157</v>
      </c>
      <c r="E33" s="36">
        <v>46.6</v>
      </c>
      <c r="F33" s="37">
        <v>78</v>
      </c>
      <c r="G33">
        <v>120</v>
      </c>
      <c r="H33">
        <v>75</v>
      </c>
      <c r="I33">
        <v>221</v>
      </c>
      <c r="J33">
        <v>232</v>
      </c>
      <c r="K33">
        <v>213</v>
      </c>
      <c r="L33">
        <v>261</v>
      </c>
      <c r="M33">
        <v>35</v>
      </c>
      <c r="N33">
        <v>36</v>
      </c>
      <c r="O33">
        <v>143</v>
      </c>
      <c r="P33">
        <v>144</v>
      </c>
      <c r="Q33">
        <v>43</v>
      </c>
      <c r="R33">
        <v>52</v>
      </c>
      <c r="S33">
        <v>0</v>
      </c>
    </row>
    <row r="34" spans="1:19" x14ac:dyDescent="0.2">
      <c r="A34">
        <v>43</v>
      </c>
      <c r="B34">
        <v>13</v>
      </c>
      <c r="E34" s="36"/>
      <c r="F34" s="37">
        <v>86</v>
      </c>
      <c r="G34">
        <v>90</v>
      </c>
      <c r="H34">
        <v>50</v>
      </c>
      <c r="I34">
        <v>147</v>
      </c>
      <c r="J34">
        <v>234</v>
      </c>
      <c r="K34">
        <v>83</v>
      </c>
      <c r="L34">
        <v>222</v>
      </c>
      <c r="M34">
        <v>35</v>
      </c>
      <c r="N34">
        <v>21</v>
      </c>
      <c r="O34">
        <v>95</v>
      </c>
      <c r="P34">
        <v>168</v>
      </c>
      <c r="Q34">
        <v>17</v>
      </c>
      <c r="R34">
        <v>44</v>
      </c>
      <c r="S34">
        <v>0</v>
      </c>
    </row>
    <row r="35" spans="1:19" x14ac:dyDescent="0.2">
      <c r="A35">
        <v>59</v>
      </c>
      <c r="B35">
        <v>19</v>
      </c>
      <c r="C35">
        <v>80</v>
      </c>
      <c r="D35">
        <v>171</v>
      </c>
      <c r="E35" s="36">
        <v>27.3</v>
      </c>
      <c r="F35" s="37">
        <v>71</v>
      </c>
      <c r="G35">
        <v>110</v>
      </c>
      <c r="H35">
        <v>60</v>
      </c>
      <c r="I35">
        <v>188</v>
      </c>
      <c r="J35">
        <v>244</v>
      </c>
      <c r="K35">
        <v>106</v>
      </c>
      <c r="L35">
        <v>202</v>
      </c>
      <c r="M35">
        <v>52</v>
      </c>
      <c r="N35">
        <v>54</v>
      </c>
      <c r="O35">
        <v>115</v>
      </c>
      <c r="P35">
        <v>150</v>
      </c>
      <c r="Q35">
        <v>21</v>
      </c>
      <c r="R35">
        <v>40</v>
      </c>
      <c r="S35">
        <v>0</v>
      </c>
    </row>
    <row r="36" spans="1:19" x14ac:dyDescent="0.2">
      <c r="A36">
        <v>45</v>
      </c>
      <c r="B36">
        <v>20</v>
      </c>
      <c r="C36">
        <v>60</v>
      </c>
      <c r="D36">
        <v>167</v>
      </c>
      <c r="E36" s="36">
        <v>21.5</v>
      </c>
      <c r="F36" s="37">
        <v>75</v>
      </c>
      <c r="G36">
        <v>100</v>
      </c>
      <c r="H36">
        <v>60</v>
      </c>
      <c r="I36">
        <v>208</v>
      </c>
      <c r="J36">
        <v>246</v>
      </c>
      <c r="K36">
        <v>143</v>
      </c>
      <c r="L36">
        <v>214</v>
      </c>
      <c r="M36">
        <v>58</v>
      </c>
      <c r="N36">
        <v>60</v>
      </c>
      <c r="O36">
        <v>122</v>
      </c>
      <c r="P36">
        <v>142</v>
      </c>
      <c r="Q36">
        <v>29</v>
      </c>
      <c r="R36">
        <v>43</v>
      </c>
      <c r="S36">
        <v>0</v>
      </c>
    </row>
    <row r="37" spans="1:19" x14ac:dyDescent="0.2">
      <c r="A37">
        <v>35</v>
      </c>
      <c r="B37">
        <v>23</v>
      </c>
      <c r="C37">
        <v>65</v>
      </c>
      <c r="D37">
        <v>151</v>
      </c>
      <c r="E37" s="36">
        <v>28.5</v>
      </c>
      <c r="F37" s="37">
        <v>81</v>
      </c>
      <c r="G37">
        <v>110</v>
      </c>
      <c r="H37">
        <v>70</v>
      </c>
      <c r="I37">
        <v>154</v>
      </c>
      <c r="J37">
        <v>247</v>
      </c>
      <c r="K37">
        <v>112</v>
      </c>
      <c r="L37">
        <v>174</v>
      </c>
      <c r="M37">
        <v>44</v>
      </c>
      <c r="N37">
        <v>46</v>
      </c>
      <c r="O37">
        <v>88</v>
      </c>
      <c r="P37">
        <v>167</v>
      </c>
      <c r="Q37">
        <v>22</v>
      </c>
      <c r="R37">
        <v>35</v>
      </c>
      <c r="S37">
        <v>0</v>
      </c>
    </row>
    <row r="38" spans="1:19" x14ac:dyDescent="0.2">
      <c r="A38">
        <v>31</v>
      </c>
      <c r="B38">
        <v>26</v>
      </c>
      <c r="C38">
        <v>52</v>
      </c>
      <c r="D38">
        <v>161</v>
      </c>
      <c r="E38" s="36">
        <v>20</v>
      </c>
      <c r="F38" s="37">
        <v>52</v>
      </c>
      <c r="G38">
        <v>102</v>
      </c>
      <c r="H38">
        <v>60</v>
      </c>
      <c r="I38">
        <v>181</v>
      </c>
      <c r="J38">
        <v>248</v>
      </c>
      <c r="K38">
        <v>91</v>
      </c>
      <c r="L38">
        <v>269</v>
      </c>
      <c r="M38">
        <v>65</v>
      </c>
      <c r="N38">
        <v>57</v>
      </c>
      <c r="O38">
        <v>98</v>
      </c>
      <c r="P38">
        <v>137</v>
      </c>
      <c r="Q38">
        <v>18</v>
      </c>
      <c r="R38">
        <v>54</v>
      </c>
      <c r="S38">
        <v>0</v>
      </c>
    </row>
    <row r="39" spans="1:19" x14ac:dyDescent="0.2">
      <c r="A39">
        <v>96</v>
      </c>
      <c r="B39" s="38">
        <v>37</v>
      </c>
      <c r="C39" s="38">
        <v>66</v>
      </c>
      <c r="D39" s="38">
        <v>168</v>
      </c>
      <c r="E39" s="38">
        <v>23.4</v>
      </c>
      <c r="F39" s="38"/>
      <c r="G39" s="38"/>
      <c r="H39" s="38"/>
      <c r="I39" s="38">
        <v>175</v>
      </c>
      <c r="J39" s="38">
        <v>249</v>
      </c>
      <c r="K39" s="38">
        <v>81</v>
      </c>
      <c r="L39" s="38">
        <v>409</v>
      </c>
      <c r="M39" s="38">
        <v>52</v>
      </c>
      <c r="N39" s="38">
        <v>67</v>
      </c>
      <c r="O39" s="38">
        <v>107</v>
      </c>
      <c r="P39" s="38">
        <v>100</v>
      </c>
      <c r="Q39" s="38">
        <v>16</v>
      </c>
      <c r="R39" s="38">
        <v>82</v>
      </c>
      <c r="S39">
        <v>0</v>
      </c>
    </row>
    <row r="40" spans="1:19" x14ac:dyDescent="0.2">
      <c r="A40">
        <v>10</v>
      </c>
      <c r="B40">
        <v>19</v>
      </c>
      <c r="C40">
        <v>57</v>
      </c>
      <c r="D40">
        <v>149</v>
      </c>
      <c r="E40" s="36">
        <v>25.6</v>
      </c>
      <c r="F40" s="37">
        <v>80</v>
      </c>
      <c r="G40">
        <v>90</v>
      </c>
      <c r="H40">
        <v>70</v>
      </c>
      <c r="I40">
        <v>207</v>
      </c>
      <c r="J40">
        <v>250</v>
      </c>
      <c r="K40">
        <v>174</v>
      </c>
      <c r="L40">
        <v>308</v>
      </c>
      <c r="M40">
        <v>52</v>
      </c>
      <c r="N40">
        <v>57</v>
      </c>
      <c r="O40">
        <v>121</v>
      </c>
      <c r="P40">
        <v>132</v>
      </c>
      <c r="Q40">
        <v>35</v>
      </c>
      <c r="R40">
        <v>62</v>
      </c>
      <c r="S40">
        <v>0</v>
      </c>
    </row>
    <row r="41" spans="1:19" x14ac:dyDescent="0.2">
      <c r="A41">
        <v>48</v>
      </c>
      <c r="B41">
        <v>28</v>
      </c>
      <c r="C41">
        <v>86.5</v>
      </c>
      <c r="D41">
        <v>162</v>
      </c>
      <c r="E41" s="36">
        <v>32.9</v>
      </c>
      <c r="F41" s="37"/>
      <c r="G41">
        <v>90</v>
      </c>
      <c r="H41">
        <v>60</v>
      </c>
      <c r="I41">
        <v>154</v>
      </c>
      <c r="J41">
        <v>250</v>
      </c>
      <c r="K41">
        <v>166</v>
      </c>
      <c r="L41">
        <v>252</v>
      </c>
      <c r="M41">
        <v>49</v>
      </c>
      <c r="N41">
        <v>40</v>
      </c>
      <c r="O41">
        <v>73</v>
      </c>
      <c r="P41">
        <v>160</v>
      </c>
      <c r="Q41">
        <v>33</v>
      </c>
      <c r="R41">
        <v>50</v>
      </c>
      <c r="S41">
        <v>0</v>
      </c>
    </row>
    <row r="42" spans="1:19" x14ac:dyDescent="0.2">
      <c r="A42">
        <v>33</v>
      </c>
      <c r="B42">
        <v>27</v>
      </c>
      <c r="C42">
        <v>88</v>
      </c>
      <c r="D42">
        <v>171</v>
      </c>
      <c r="E42" s="36">
        <v>30</v>
      </c>
      <c r="F42" s="37">
        <v>65</v>
      </c>
      <c r="G42">
        <v>90</v>
      </c>
      <c r="H42">
        <v>60</v>
      </c>
      <c r="I42">
        <v>203</v>
      </c>
      <c r="J42">
        <v>252</v>
      </c>
      <c r="K42">
        <v>156</v>
      </c>
      <c r="L42">
        <v>203</v>
      </c>
      <c r="M42">
        <v>52</v>
      </c>
      <c r="N42">
        <v>57</v>
      </c>
      <c r="O42">
        <v>120</v>
      </c>
      <c r="P42">
        <v>154</v>
      </c>
      <c r="Q42">
        <v>31</v>
      </c>
      <c r="R42">
        <v>41</v>
      </c>
      <c r="S42">
        <v>0</v>
      </c>
    </row>
    <row r="43" spans="1:19" x14ac:dyDescent="0.2">
      <c r="A43">
        <v>44</v>
      </c>
      <c r="B43">
        <v>26</v>
      </c>
      <c r="C43">
        <v>75</v>
      </c>
      <c r="D43">
        <v>156</v>
      </c>
      <c r="E43" s="36">
        <v>30.8</v>
      </c>
      <c r="F43" s="37">
        <v>69</v>
      </c>
      <c r="G43">
        <v>110</v>
      </c>
      <c r="H43">
        <v>60</v>
      </c>
      <c r="I43">
        <v>199</v>
      </c>
      <c r="J43">
        <v>256</v>
      </c>
      <c r="K43">
        <v>196</v>
      </c>
      <c r="L43">
        <v>297</v>
      </c>
      <c r="M43">
        <v>46</v>
      </c>
      <c r="N43">
        <v>52</v>
      </c>
      <c r="O43">
        <v>114</v>
      </c>
      <c r="P43">
        <v>145</v>
      </c>
      <c r="Q43">
        <v>39</v>
      </c>
      <c r="R43">
        <v>59</v>
      </c>
      <c r="S43">
        <v>0</v>
      </c>
    </row>
    <row r="44" spans="1:19" x14ac:dyDescent="0.2">
      <c r="A44">
        <v>52</v>
      </c>
      <c r="B44">
        <v>21</v>
      </c>
      <c r="C44">
        <v>69</v>
      </c>
      <c r="D44">
        <v>158</v>
      </c>
      <c r="E44" s="36">
        <v>27.6</v>
      </c>
      <c r="F44" s="37">
        <v>78</v>
      </c>
      <c r="G44">
        <v>110</v>
      </c>
      <c r="H44">
        <v>70</v>
      </c>
      <c r="I44">
        <v>160</v>
      </c>
      <c r="J44">
        <v>256</v>
      </c>
      <c r="K44">
        <v>118</v>
      </c>
      <c r="L44">
        <v>246</v>
      </c>
      <c r="M44">
        <v>43</v>
      </c>
      <c r="N44">
        <v>39</v>
      </c>
      <c r="O44">
        <v>93</v>
      </c>
      <c r="P44">
        <v>167</v>
      </c>
      <c r="Q44">
        <v>24</v>
      </c>
      <c r="R44">
        <v>49</v>
      </c>
      <c r="S44">
        <v>0</v>
      </c>
    </row>
    <row r="45" spans="1:19" x14ac:dyDescent="0.2">
      <c r="A45">
        <v>74</v>
      </c>
      <c r="B45" s="38">
        <v>31</v>
      </c>
      <c r="C45" s="38">
        <v>68</v>
      </c>
      <c r="D45" s="38">
        <v>169</v>
      </c>
      <c r="E45" s="38">
        <v>23.8</v>
      </c>
      <c r="F45" s="38">
        <v>84</v>
      </c>
      <c r="G45" s="38">
        <v>106</v>
      </c>
      <c r="H45" s="38">
        <v>65</v>
      </c>
      <c r="I45" s="38">
        <v>149</v>
      </c>
      <c r="J45" s="38">
        <v>256</v>
      </c>
      <c r="K45" s="38">
        <v>40</v>
      </c>
      <c r="L45" s="38">
        <v>246</v>
      </c>
      <c r="M45" s="38">
        <v>64</v>
      </c>
      <c r="N45" s="38">
        <v>73</v>
      </c>
      <c r="O45" s="38">
        <v>64</v>
      </c>
      <c r="P45" s="38">
        <v>134</v>
      </c>
      <c r="Q45" s="38">
        <v>8</v>
      </c>
      <c r="R45" s="38">
        <v>49</v>
      </c>
      <c r="S45">
        <v>0</v>
      </c>
    </row>
    <row r="46" spans="1:19" x14ac:dyDescent="0.2">
      <c r="A46">
        <v>84</v>
      </c>
      <c r="B46" s="38">
        <v>33</v>
      </c>
      <c r="C46" s="38">
        <v>81.5</v>
      </c>
      <c r="D46" s="38">
        <v>150</v>
      </c>
      <c r="E46" s="38">
        <v>36.200000000000003</v>
      </c>
      <c r="F46" s="38">
        <v>77</v>
      </c>
      <c r="G46" s="38">
        <v>120</v>
      </c>
      <c r="H46" s="38">
        <v>70</v>
      </c>
      <c r="I46" s="38">
        <v>160</v>
      </c>
      <c r="J46" s="38">
        <v>256</v>
      </c>
      <c r="K46" s="38">
        <v>87</v>
      </c>
      <c r="L46" s="38">
        <v>212</v>
      </c>
      <c r="M46" s="38">
        <v>64</v>
      </c>
      <c r="N46" s="38">
        <v>78</v>
      </c>
      <c r="O46" s="38">
        <v>101</v>
      </c>
      <c r="P46" s="38">
        <v>125</v>
      </c>
      <c r="Q46" s="38">
        <v>17</v>
      </c>
      <c r="R46" s="38">
        <v>42</v>
      </c>
      <c r="S46">
        <v>0</v>
      </c>
    </row>
    <row r="47" spans="1:19" x14ac:dyDescent="0.2">
      <c r="A47">
        <v>47</v>
      </c>
      <c r="B47">
        <v>17</v>
      </c>
      <c r="C47">
        <v>74</v>
      </c>
      <c r="D47">
        <v>158</v>
      </c>
      <c r="E47" s="36">
        <v>29.6</v>
      </c>
      <c r="F47" s="37">
        <v>76</v>
      </c>
      <c r="G47">
        <v>110</v>
      </c>
      <c r="H47">
        <v>70</v>
      </c>
      <c r="I47">
        <v>204</v>
      </c>
      <c r="J47">
        <v>257</v>
      </c>
      <c r="K47">
        <v>130</v>
      </c>
      <c r="L47">
        <v>347</v>
      </c>
      <c r="M47">
        <v>34</v>
      </c>
      <c r="N47">
        <v>36</v>
      </c>
      <c r="O47">
        <v>145</v>
      </c>
      <c r="P47">
        <v>151</v>
      </c>
      <c r="Q47">
        <v>26</v>
      </c>
      <c r="R47">
        <v>69</v>
      </c>
      <c r="S47">
        <v>0</v>
      </c>
    </row>
    <row r="48" spans="1:19" x14ac:dyDescent="0.2">
      <c r="A48">
        <v>125</v>
      </c>
      <c r="B48" s="38">
        <v>36</v>
      </c>
      <c r="C48" s="38">
        <v>59</v>
      </c>
      <c r="D48" s="38">
        <v>157</v>
      </c>
      <c r="E48" s="38">
        <v>23.9</v>
      </c>
      <c r="F48" s="38"/>
      <c r="G48" s="38">
        <v>120</v>
      </c>
      <c r="H48" s="38">
        <v>80</v>
      </c>
      <c r="I48" s="38">
        <v>244</v>
      </c>
      <c r="J48" s="38">
        <v>257</v>
      </c>
      <c r="K48" s="38">
        <v>102</v>
      </c>
      <c r="L48" s="38">
        <v>187</v>
      </c>
      <c r="M48" s="38">
        <v>76</v>
      </c>
      <c r="N48" s="38">
        <v>71</v>
      </c>
      <c r="O48" s="38">
        <v>143</v>
      </c>
      <c r="P48" s="38">
        <v>149</v>
      </c>
      <c r="Q48" s="38">
        <v>20</v>
      </c>
      <c r="R48" s="38">
        <v>37</v>
      </c>
      <c r="S48">
        <v>0</v>
      </c>
    </row>
    <row r="49" spans="1:19" x14ac:dyDescent="0.2">
      <c r="A49">
        <v>54</v>
      </c>
      <c r="B49">
        <v>20</v>
      </c>
      <c r="C49">
        <v>50</v>
      </c>
      <c r="D49">
        <v>158</v>
      </c>
      <c r="E49" s="36">
        <v>20</v>
      </c>
      <c r="F49" s="37">
        <v>62</v>
      </c>
      <c r="G49">
        <v>104</v>
      </c>
      <c r="H49">
        <v>60</v>
      </c>
      <c r="I49">
        <v>147</v>
      </c>
      <c r="J49">
        <v>258</v>
      </c>
      <c r="K49">
        <v>80</v>
      </c>
      <c r="L49">
        <v>237</v>
      </c>
      <c r="M49">
        <v>45</v>
      </c>
      <c r="N49">
        <v>45</v>
      </c>
      <c r="O49">
        <v>86</v>
      </c>
      <c r="P49">
        <v>166</v>
      </c>
      <c r="Q49">
        <v>16</v>
      </c>
      <c r="R49">
        <v>47</v>
      </c>
      <c r="S49">
        <v>0</v>
      </c>
    </row>
    <row r="50" spans="1:19" x14ac:dyDescent="0.2">
      <c r="A50">
        <v>17</v>
      </c>
      <c r="B50">
        <v>24</v>
      </c>
      <c r="C50">
        <v>74</v>
      </c>
      <c r="D50">
        <v>153</v>
      </c>
      <c r="E50" s="36">
        <v>31.6</v>
      </c>
      <c r="F50" s="37">
        <v>83</v>
      </c>
      <c r="G50">
        <v>110</v>
      </c>
      <c r="H50">
        <v>80</v>
      </c>
      <c r="I50">
        <v>207</v>
      </c>
      <c r="J50">
        <v>259</v>
      </c>
      <c r="K50">
        <v>118</v>
      </c>
      <c r="L50">
        <v>203</v>
      </c>
      <c r="M50">
        <v>18</v>
      </c>
      <c r="N50">
        <v>58</v>
      </c>
      <c r="O50">
        <v>166</v>
      </c>
      <c r="P50">
        <v>160</v>
      </c>
      <c r="Q50">
        <v>24</v>
      </c>
      <c r="R50">
        <v>41</v>
      </c>
      <c r="S50">
        <v>0</v>
      </c>
    </row>
    <row r="51" spans="1:19" x14ac:dyDescent="0.2">
      <c r="A51">
        <v>13</v>
      </c>
      <c r="B51">
        <v>29</v>
      </c>
      <c r="C51">
        <v>79</v>
      </c>
      <c r="D51">
        <v>158</v>
      </c>
      <c r="E51" s="36">
        <v>31.6</v>
      </c>
      <c r="F51" s="37">
        <v>66</v>
      </c>
      <c r="G51">
        <v>108</v>
      </c>
      <c r="H51">
        <v>68</v>
      </c>
      <c r="I51">
        <v>196</v>
      </c>
      <c r="J51">
        <v>260</v>
      </c>
      <c r="K51">
        <v>147</v>
      </c>
      <c r="L51">
        <v>376</v>
      </c>
      <c r="M51">
        <v>36</v>
      </c>
      <c r="N51">
        <v>29</v>
      </c>
      <c r="O51">
        <v>131</v>
      </c>
      <c r="P51">
        <v>156</v>
      </c>
      <c r="Q51">
        <v>29</v>
      </c>
      <c r="R51">
        <v>75</v>
      </c>
      <c r="S51">
        <v>0</v>
      </c>
    </row>
    <row r="52" spans="1:19" x14ac:dyDescent="0.2">
      <c r="A52">
        <v>55</v>
      </c>
      <c r="B52">
        <v>31</v>
      </c>
      <c r="C52">
        <v>61</v>
      </c>
      <c r="E52" s="36"/>
      <c r="F52" s="37">
        <v>67</v>
      </c>
      <c r="G52">
        <v>100</v>
      </c>
      <c r="H52">
        <v>60</v>
      </c>
      <c r="I52">
        <v>162</v>
      </c>
      <c r="J52">
        <v>268</v>
      </c>
      <c r="K52">
        <v>106</v>
      </c>
      <c r="L52">
        <v>273</v>
      </c>
      <c r="M52">
        <v>64</v>
      </c>
      <c r="N52">
        <v>64</v>
      </c>
      <c r="O52">
        <v>76</v>
      </c>
      <c r="P52">
        <v>150</v>
      </c>
      <c r="Q52">
        <v>21</v>
      </c>
      <c r="R52">
        <v>55</v>
      </c>
      <c r="S52">
        <v>0</v>
      </c>
    </row>
    <row r="53" spans="1:19" x14ac:dyDescent="0.2">
      <c r="A53">
        <v>23</v>
      </c>
      <c r="B53">
        <v>20</v>
      </c>
      <c r="C53">
        <v>60</v>
      </c>
      <c r="D53">
        <v>145</v>
      </c>
      <c r="E53" s="36">
        <v>28.5</v>
      </c>
      <c r="F53" s="37">
        <v>84</v>
      </c>
      <c r="G53">
        <v>110</v>
      </c>
      <c r="H53">
        <v>70</v>
      </c>
      <c r="I53">
        <v>199</v>
      </c>
      <c r="J53">
        <v>270</v>
      </c>
      <c r="K53">
        <v>144</v>
      </c>
      <c r="L53">
        <v>255</v>
      </c>
      <c r="M53">
        <v>42</v>
      </c>
      <c r="N53">
        <v>57</v>
      </c>
      <c r="O53">
        <v>128</v>
      </c>
      <c r="P53">
        <v>162</v>
      </c>
      <c r="Q53">
        <v>29</v>
      </c>
      <c r="R53">
        <v>51</v>
      </c>
      <c r="S53">
        <v>0</v>
      </c>
    </row>
    <row r="54" spans="1:19" x14ac:dyDescent="0.2">
      <c r="A54">
        <v>27</v>
      </c>
      <c r="B54">
        <v>36</v>
      </c>
      <c r="C54">
        <v>75</v>
      </c>
      <c r="D54">
        <v>152</v>
      </c>
      <c r="E54" s="36">
        <v>32.4</v>
      </c>
      <c r="F54" s="37">
        <v>72</v>
      </c>
      <c r="G54">
        <v>100</v>
      </c>
      <c r="H54">
        <v>70</v>
      </c>
      <c r="I54">
        <v>193</v>
      </c>
      <c r="J54">
        <v>275</v>
      </c>
      <c r="K54">
        <v>130</v>
      </c>
      <c r="L54">
        <v>238</v>
      </c>
      <c r="M54">
        <v>52</v>
      </c>
      <c r="N54">
        <v>74</v>
      </c>
      <c r="O54">
        <v>115</v>
      </c>
      <c r="P54">
        <v>152</v>
      </c>
      <c r="Q54">
        <v>26</v>
      </c>
      <c r="R54">
        <v>48</v>
      </c>
      <c r="S54">
        <v>0</v>
      </c>
    </row>
    <row r="55" spans="1:19" x14ac:dyDescent="0.2">
      <c r="A55">
        <v>32</v>
      </c>
      <c r="B55">
        <v>24</v>
      </c>
      <c r="C55">
        <v>84</v>
      </c>
      <c r="D55">
        <v>161</v>
      </c>
      <c r="E55" s="36">
        <v>32.4</v>
      </c>
      <c r="F55" s="37">
        <v>61</v>
      </c>
      <c r="G55">
        <v>100</v>
      </c>
      <c r="H55">
        <v>60</v>
      </c>
      <c r="I55">
        <v>218</v>
      </c>
      <c r="J55">
        <v>275</v>
      </c>
      <c r="K55">
        <v>152</v>
      </c>
      <c r="L55">
        <v>367</v>
      </c>
      <c r="M55">
        <v>64</v>
      </c>
      <c r="N55">
        <v>74</v>
      </c>
      <c r="O55">
        <v>124</v>
      </c>
      <c r="P55">
        <v>127</v>
      </c>
      <c r="Q55">
        <v>30</v>
      </c>
      <c r="R55">
        <v>73</v>
      </c>
      <c r="S55">
        <v>0</v>
      </c>
    </row>
    <row r="56" spans="1:19" x14ac:dyDescent="0.2">
      <c r="A56">
        <v>94</v>
      </c>
      <c r="B56" s="38">
        <v>26</v>
      </c>
      <c r="C56" s="38">
        <v>68</v>
      </c>
      <c r="D56" s="38">
        <v>170</v>
      </c>
      <c r="E56" s="38">
        <v>23.5</v>
      </c>
      <c r="F56" s="38"/>
      <c r="G56" s="38"/>
      <c r="H56" s="38"/>
      <c r="I56" s="38">
        <v>172</v>
      </c>
      <c r="J56" s="38">
        <v>277</v>
      </c>
      <c r="K56" s="38">
        <v>97</v>
      </c>
      <c r="L56" s="38">
        <v>246</v>
      </c>
      <c r="M56" s="38">
        <v>68</v>
      </c>
      <c r="N56" s="38">
        <v>74</v>
      </c>
      <c r="O56" s="38">
        <v>90</v>
      </c>
      <c r="P56" s="38">
        <v>154</v>
      </c>
      <c r="Q56" s="38">
        <v>19</v>
      </c>
      <c r="R56" s="38">
        <v>49</v>
      </c>
      <c r="S56">
        <v>0</v>
      </c>
    </row>
    <row r="57" spans="1:19" x14ac:dyDescent="0.2">
      <c r="A57">
        <v>62</v>
      </c>
      <c r="B57">
        <v>39</v>
      </c>
      <c r="C57">
        <v>62</v>
      </c>
      <c r="D57">
        <v>154</v>
      </c>
      <c r="E57" s="36">
        <v>26.1</v>
      </c>
      <c r="F57" s="37">
        <v>84</v>
      </c>
      <c r="G57">
        <v>110</v>
      </c>
      <c r="H57">
        <v>70</v>
      </c>
      <c r="I57">
        <v>199</v>
      </c>
      <c r="J57">
        <v>279</v>
      </c>
      <c r="K57">
        <v>179</v>
      </c>
      <c r="L57">
        <v>296</v>
      </c>
      <c r="M57">
        <v>57</v>
      </c>
      <c r="N57">
        <v>51</v>
      </c>
      <c r="O57">
        <v>107</v>
      </c>
      <c r="P57">
        <v>168</v>
      </c>
      <c r="Q57">
        <v>36</v>
      </c>
      <c r="R57">
        <v>59</v>
      </c>
      <c r="S57">
        <v>0</v>
      </c>
    </row>
    <row r="58" spans="1:19" x14ac:dyDescent="0.2">
      <c r="A58">
        <v>106</v>
      </c>
      <c r="B58" s="38">
        <v>41</v>
      </c>
      <c r="C58" s="38">
        <v>68</v>
      </c>
      <c r="D58" s="38">
        <v>150</v>
      </c>
      <c r="E58" s="38">
        <v>30.2</v>
      </c>
      <c r="F58" s="38"/>
      <c r="G58" s="38">
        <v>105</v>
      </c>
      <c r="H58" s="38">
        <v>60</v>
      </c>
      <c r="I58" s="38">
        <v>184</v>
      </c>
      <c r="J58" s="38">
        <v>279</v>
      </c>
      <c r="K58" s="38">
        <v>131</v>
      </c>
      <c r="L58" s="38">
        <v>371</v>
      </c>
      <c r="M58" s="38">
        <v>52</v>
      </c>
      <c r="N58" s="38">
        <v>72</v>
      </c>
      <c r="O58" s="38">
        <v>142</v>
      </c>
      <c r="P58" s="38">
        <v>133</v>
      </c>
      <c r="Q58" s="38">
        <v>26</v>
      </c>
      <c r="R58" s="38">
        <v>74</v>
      </c>
      <c r="S58">
        <v>0</v>
      </c>
    </row>
    <row r="59" spans="1:19" x14ac:dyDescent="0.2">
      <c r="A59">
        <v>28</v>
      </c>
      <c r="B59">
        <v>27</v>
      </c>
      <c r="C59">
        <v>85</v>
      </c>
      <c r="D59">
        <v>154</v>
      </c>
      <c r="E59" s="36">
        <v>35.799999999999997</v>
      </c>
      <c r="F59" s="37">
        <v>84</v>
      </c>
      <c r="G59">
        <v>120</v>
      </c>
      <c r="H59">
        <v>70</v>
      </c>
      <c r="I59">
        <v>188</v>
      </c>
      <c r="J59">
        <v>283</v>
      </c>
      <c r="K59">
        <v>235</v>
      </c>
      <c r="L59">
        <v>445</v>
      </c>
      <c r="M59">
        <v>43</v>
      </c>
      <c r="N59">
        <v>26</v>
      </c>
      <c r="O59">
        <v>98</v>
      </c>
      <c r="P59" t="s">
        <v>320</v>
      </c>
      <c r="Q59">
        <v>47</v>
      </c>
      <c r="R59" t="s">
        <v>320</v>
      </c>
      <c r="S59">
        <v>0</v>
      </c>
    </row>
    <row r="60" spans="1:19" x14ac:dyDescent="0.2">
      <c r="A60">
        <v>120</v>
      </c>
      <c r="B60" s="38">
        <v>35</v>
      </c>
      <c r="C60" s="38">
        <v>79.5</v>
      </c>
      <c r="D60" s="38">
        <v>165</v>
      </c>
      <c r="E60" s="38">
        <v>29.2</v>
      </c>
      <c r="F60" s="38">
        <v>80</v>
      </c>
      <c r="G60" s="38">
        <v>120</v>
      </c>
      <c r="H60" s="38">
        <v>70</v>
      </c>
      <c r="I60" s="38">
        <v>215</v>
      </c>
      <c r="J60" s="38">
        <v>286</v>
      </c>
      <c r="K60" s="38">
        <v>64</v>
      </c>
      <c r="L60" s="38">
        <v>217</v>
      </c>
      <c r="M60" s="38">
        <v>45</v>
      </c>
      <c r="N60" s="38">
        <v>91</v>
      </c>
      <c r="O60" s="38">
        <v>164</v>
      </c>
      <c r="P60" s="38">
        <v>152</v>
      </c>
      <c r="Q60" s="38">
        <v>13</v>
      </c>
      <c r="R60" s="38">
        <v>43</v>
      </c>
      <c r="S60">
        <v>0</v>
      </c>
    </row>
    <row r="61" spans="1:19" x14ac:dyDescent="0.2">
      <c r="A61">
        <v>4</v>
      </c>
      <c r="B61">
        <v>22</v>
      </c>
      <c r="C61">
        <v>81</v>
      </c>
      <c r="D61">
        <v>154</v>
      </c>
      <c r="E61" s="36">
        <v>34.1</v>
      </c>
      <c r="F61" s="37">
        <v>87</v>
      </c>
      <c r="G61">
        <v>100</v>
      </c>
      <c r="H61">
        <v>60</v>
      </c>
      <c r="I61">
        <v>219</v>
      </c>
      <c r="J61">
        <v>288</v>
      </c>
      <c r="K61">
        <v>86</v>
      </c>
      <c r="L61">
        <v>147</v>
      </c>
      <c r="M61">
        <v>52</v>
      </c>
      <c r="N61">
        <v>40</v>
      </c>
      <c r="O61">
        <v>150</v>
      </c>
      <c r="P61">
        <v>218</v>
      </c>
      <c r="Q61">
        <v>17</v>
      </c>
      <c r="R61">
        <v>29</v>
      </c>
      <c r="S61">
        <v>0</v>
      </c>
    </row>
    <row r="62" spans="1:19" x14ac:dyDescent="0.2">
      <c r="A62">
        <v>58</v>
      </c>
      <c r="B62">
        <v>32</v>
      </c>
      <c r="C62">
        <v>81</v>
      </c>
      <c r="D62">
        <v>161</v>
      </c>
      <c r="E62" s="36">
        <v>31.2</v>
      </c>
      <c r="F62" s="37">
        <v>82</v>
      </c>
      <c r="G62">
        <v>110</v>
      </c>
      <c r="H62">
        <v>70</v>
      </c>
      <c r="I62">
        <v>190</v>
      </c>
      <c r="J62">
        <v>289</v>
      </c>
      <c r="K62">
        <v>124</v>
      </c>
      <c r="L62">
        <v>305</v>
      </c>
      <c r="M62">
        <v>58</v>
      </c>
      <c r="N62">
        <v>54</v>
      </c>
      <c r="O62">
        <v>108</v>
      </c>
      <c r="P62">
        <v>174</v>
      </c>
      <c r="Q62">
        <v>25</v>
      </c>
      <c r="R62">
        <v>61</v>
      </c>
      <c r="S62">
        <v>0</v>
      </c>
    </row>
    <row r="63" spans="1:19" x14ac:dyDescent="0.2">
      <c r="A63">
        <v>103</v>
      </c>
      <c r="B63" s="38">
        <v>32</v>
      </c>
      <c r="C63" s="38">
        <v>62</v>
      </c>
      <c r="D63" s="38">
        <v>169</v>
      </c>
      <c r="E63" s="38">
        <v>21.7</v>
      </c>
      <c r="F63" s="38">
        <v>81</v>
      </c>
      <c r="G63" s="38">
        <v>120</v>
      </c>
      <c r="H63" s="38">
        <v>80</v>
      </c>
      <c r="I63" s="38">
        <v>182</v>
      </c>
      <c r="J63" s="38">
        <v>290</v>
      </c>
      <c r="K63" s="38">
        <v>113</v>
      </c>
      <c r="L63" s="38">
        <v>199</v>
      </c>
      <c r="M63" s="38">
        <v>52</v>
      </c>
      <c r="N63" s="38">
        <v>62</v>
      </c>
      <c r="O63" s="38">
        <v>147</v>
      </c>
      <c r="P63" s="38">
        <v>188</v>
      </c>
      <c r="Q63" s="38">
        <v>23</v>
      </c>
      <c r="R63" s="38">
        <v>40</v>
      </c>
      <c r="S63">
        <v>1</v>
      </c>
    </row>
    <row r="64" spans="1:19" x14ac:dyDescent="0.2">
      <c r="A64">
        <v>90</v>
      </c>
      <c r="B64" s="38">
        <v>30</v>
      </c>
      <c r="C64" s="38">
        <v>63</v>
      </c>
      <c r="D64" s="38">
        <v>152</v>
      </c>
      <c r="E64" s="38">
        <v>27.3</v>
      </c>
      <c r="F64" s="38">
        <v>76</v>
      </c>
      <c r="G64" s="38"/>
      <c r="H64" s="38"/>
      <c r="I64" s="38">
        <v>170</v>
      </c>
      <c r="J64" s="38">
        <v>292</v>
      </c>
      <c r="K64" s="38">
        <v>115</v>
      </c>
      <c r="L64" s="38">
        <v>342</v>
      </c>
      <c r="M64" s="38">
        <v>62</v>
      </c>
      <c r="N64" s="38">
        <v>99</v>
      </c>
      <c r="O64" s="38">
        <v>92</v>
      </c>
      <c r="P64" s="38">
        <v>125</v>
      </c>
      <c r="Q64" s="38">
        <v>23</v>
      </c>
      <c r="R64" s="38">
        <v>68</v>
      </c>
      <c r="S64">
        <v>1</v>
      </c>
    </row>
    <row r="65" spans="1:19" x14ac:dyDescent="0.2">
      <c r="A65">
        <v>6</v>
      </c>
      <c r="B65">
        <v>33</v>
      </c>
      <c r="C65">
        <v>49</v>
      </c>
      <c r="D65">
        <v>150</v>
      </c>
      <c r="E65" s="36">
        <v>21.7</v>
      </c>
      <c r="F65" s="37">
        <v>63</v>
      </c>
      <c r="G65">
        <v>120</v>
      </c>
      <c r="H65">
        <v>60</v>
      </c>
      <c r="I65">
        <v>209</v>
      </c>
      <c r="J65">
        <v>296</v>
      </c>
      <c r="K65">
        <v>117</v>
      </c>
      <c r="L65">
        <v>326</v>
      </c>
      <c r="M65">
        <v>41</v>
      </c>
      <c r="N65">
        <v>33</v>
      </c>
      <c r="O65">
        <v>144</v>
      </c>
      <c r="P65">
        <v>199</v>
      </c>
      <c r="Q65">
        <v>23</v>
      </c>
      <c r="R65">
        <v>65</v>
      </c>
      <c r="S65">
        <v>1</v>
      </c>
    </row>
    <row r="66" spans="1:19" x14ac:dyDescent="0.2">
      <c r="A66">
        <v>53</v>
      </c>
      <c r="B66">
        <v>36</v>
      </c>
      <c r="C66">
        <v>82</v>
      </c>
      <c r="D66">
        <v>163</v>
      </c>
      <c r="E66" s="36">
        <v>30.8</v>
      </c>
      <c r="F66" s="37">
        <v>72</v>
      </c>
      <c r="G66">
        <v>120</v>
      </c>
      <c r="H66">
        <v>60</v>
      </c>
      <c r="I66">
        <v>159</v>
      </c>
      <c r="J66">
        <v>300</v>
      </c>
      <c r="K66">
        <v>142</v>
      </c>
      <c r="L66">
        <v>310</v>
      </c>
      <c r="M66">
        <v>36</v>
      </c>
      <c r="N66">
        <v>35</v>
      </c>
      <c r="O66">
        <v>95</v>
      </c>
      <c r="P66">
        <v>203</v>
      </c>
      <c r="Q66">
        <v>28</v>
      </c>
      <c r="R66">
        <v>62</v>
      </c>
      <c r="S66">
        <v>1</v>
      </c>
    </row>
    <row r="67" spans="1:19" x14ac:dyDescent="0.2">
      <c r="A67">
        <v>40</v>
      </c>
      <c r="B67">
        <v>30</v>
      </c>
      <c r="C67">
        <v>77</v>
      </c>
      <c r="D67">
        <v>158</v>
      </c>
      <c r="E67" s="36">
        <v>30.8</v>
      </c>
      <c r="F67" s="37">
        <v>73</v>
      </c>
      <c r="G67">
        <v>100</v>
      </c>
      <c r="H67">
        <v>70</v>
      </c>
      <c r="I67">
        <v>232</v>
      </c>
      <c r="J67">
        <v>304</v>
      </c>
      <c r="K67">
        <v>185</v>
      </c>
      <c r="L67">
        <v>322</v>
      </c>
      <c r="M67">
        <v>43</v>
      </c>
      <c r="N67">
        <v>36</v>
      </c>
      <c r="O67">
        <v>152</v>
      </c>
      <c r="P67">
        <v>204</v>
      </c>
      <c r="Q67">
        <v>37</v>
      </c>
      <c r="R67">
        <v>64</v>
      </c>
      <c r="S67">
        <v>1</v>
      </c>
    </row>
    <row r="68" spans="1:19" x14ac:dyDescent="0.2">
      <c r="A68">
        <v>16</v>
      </c>
      <c r="B68">
        <v>25</v>
      </c>
      <c r="C68">
        <v>62</v>
      </c>
      <c r="D68">
        <v>164</v>
      </c>
      <c r="E68" s="36">
        <v>23</v>
      </c>
      <c r="F68" s="37">
        <v>81</v>
      </c>
      <c r="G68">
        <v>110</v>
      </c>
      <c r="H68">
        <v>60</v>
      </c>
      <c r="I68">
        <v>212</v>
      </c>
      <c r="J68">
        <v>308</v>
      </c>
      <c r="K68">
        <v>114</v>
      </c>
      <c r="L68">
        <v>190</v>
      </c>
      <c r="M68">
        <v>54</v>
      </c>
      <c r="N68">
        <v>38</v>
      </c>
      <c r="O68">
        <v>134</v>
      </c>
      <c r="P68">
        <v>232</v>
      </c>
      <c r="Q68">
        <v>23</v>
      </c>
      <c r="R68">
        <v>38</v>
      </c>
      <c r="S68">
        <v>1</v>
      </c>
    </row>
    <row r="69" spans="1:19" x14ac:dyDescent="0.2">
      <c r="A69">
        <v>26</v>
      </c>
      <c r="B69">
        <v>29</v>
      </c>
      <c r="C69">
        <v>69</v>
      </c>
      <c r="D69">
        <v>157</v>
      </c>
      <c r="E69" s="36">
        <v>27.9</v>
      </c>
      <c r="F69" s="37">
        <v>60</v>
      </c>
      <c r="G69">
        <v>110</v>
      </c>
      <c r="H69">
        <v>60</v>
      </c>
      <c r="I69">
        <v>251</v>
      </c>
      <c r="J69">
        <v>311</v>
      </c>
      <c r="K69">
        <v>246</v>
      </c>
      <c r="L69">
        <v>540</v>
      </c>
      <c r="M69">
        <v>36</v>
      </c>
      <c r="N69">
        <v>30</v>
      </c>
      <c r="O69">
        <v>166</v>
      </c>
      <c r="P69" t="s">
        <v>320</v>
      </c>
      <c r="Q69">
        <v>49</v>
      </c>
      <c r="R69" t="s">
        <v>320</v>
      </c>
      <c r="S69">
        <v>1</v>
      </c>
    </row>
    <row r="70" spans="1:19" x14ac:dyDescent="0.2">
      <c r="A70">
        <v>36</v>
      </c>
      <c r="B70">
        <v>21</v>
      </c>
      <c r="C70">
        <v>57</v>
      </c>
      <c r="D70">
        <v>161</v>
      </c>
      <c r="E70" s="36">
        <v>21.9</v>
      </c>
      <c r="F70" s="37">
        <v>65</v>
      </c>
      <c r="G70">
        <v>100</v>
      </c>
      <c r="H70">
        <v>60</v>
      </c>
      <c r="I70">
        <v>203</v>
      </c>
      <c r="J70">
        <v>331</v>
      </c>
      <c r="K70">
        <v>117</v>
      </c>
      <c r="L70">
        <v>268</v>
      </c>
      <c r="M70">
        <v>51</v>
      </c>
      <c r="N70">
        <v>34</v>
      </c>
      <c r="O70">
        <v>129</v>
      </c>
      <c r="P70">
        <v>244</v>
      </c>
      <c r="Q70">
        <v>23</v>
      </c>
      <c r="R70">
        <v>54</v>
      </c>
      <c r="S70">
        <v>1</v>
      </c>
    </row>
    <row r="71" spans="1:19" x14ac:dyDescent="0.2">
      <c r="A71">
        <v>1</v>
      </c>
      <c r="B71">
        <v>26</v>
      </c>
      <c r="C71">
        <v>62</v>
      </c>
      <c r="D71">
        <v>154</v>
      </c>
      <c r="E71" s="36">
        <v>26.1</v>
      </c>
      <c r="F71" s="37">
        <v>82</v>
      </c>
      <c r="G71">
        <v>120</v>
      </c>
      <c r="H71">
        <v>70</v>
      </c>
      <c r="I71">
        <v>239</v>
      </c>
      <c r="J71">
        <v>332</v>
      </c>
      <c r="K71">
        <v>152</v>
      </c>
      <c r="L71">
        <v>251</v>
      </c>
      <c r="M71">
        <v>40</v>
      </c>
      <c r="N71">
        <v>28</v>
      </c>
      <c r="O71">
        <v>168</v>
      </c>
      <c r="P71">
        <v>254</v>
      </c>
      <c r="Q71">
        <v>30</v>
      </c>
      <c r="R71">
        <v>50</v>
      </c>
      <c r="S71">
        <v>1</v>
      </c>
    </row>
    <row r="72" spans="1:19" x14ac:dyDescent="0.2">
      <c r="A72">
        <v>124</v>
      </c>
      <c r="B72" s="38">
        <v>32</v>
      </c>
      <c r="C72" s="38">
        <v>60</v>
      </c>
      <c r="D72" s="38">
        <v>155</v>
      </c>
      <c r="E72" s="38">
        <v>25</v>
      </c>
      <c r="F72" s="38">
        <v>80</v>
      </c>
      <c r="G72" s="38">
        <v>120</v>
      </c>
      <c r="H72" s="38">
        <v>70</v>
      </c>
      <c r="I72" s="38">
        <v>241</v>
      </c>
      <c r="J72" s="38">
        <v>337</v>
      </c>
      <c r="K72" s="38">
        <v>103</v>
      </c>
      <c r="L72" s="38">
        <v>185</v>
      </c>
      <c r="M72" s="38">
        <v>67</v>
      </c>
      <c r="N72" s="38">
        <v>67</v>
      </c>
      <c r="O72" s="38">
        <v>131</v>
      </c>
      <c r="P72" s="38">
        <v>233</v>
      </c>
      <c r="Q72" s="38">
        <v>21</v>
      </c>
      <c r="R72" s="38">
        <v>30</v>
      </c>
      <c r="S72">
        <v>1</v>
      </c>
    </row>
    <row r="73" spans="1:19" x14ac:dyDescent="0.2">
      <c r="A73">
        <v>108</v>
      </c>
      <c r="B73" s="38">
        <v>33</v>
      </c>
      <c r="C73" s="38">
        <v>78</v>
      </c>
      <c r="D73" s="38">
        <v>168</v>
      </c>
      <c r="E73" s="38">
        <v>27.6</v>
      </c>
      <c r="F73" s="38">
        <v>134</v>
      </c>
      <c r="G73" s="38">
        <v>110</v>
      </c>
      <c r="H73" s="38">
        <v>70</v>
      </c>
      <c r="I73" s="38">
        <v>188</v>
      </c>
      <c r="J73" s="38">
        <v>344</v>
      </c>
      <c r="K73" s="38">
        <v>121</v>
      </c>
      <c r="L73" s="38">
        <v>286</v>
      </c>
      <c r="M73" s="38">
        <v>48</v>
      </c>
      <c r="N73" s="38">
        <v>90</v>
      </c>
      <c r="O73" s="38">
        <v>108</v>
      </c>
      <c r="P73" s="38">
        <v>197</v>
      </c>
      <c r="Q73" s="38">
        <v>24</v>
      </c>
      <c r="R73" s="38">
        <v>57</v>
      </c>
      <c r="S73">
        <v>1</v>
      </c>
    </row>
    <row r="74" spans="1:19" x14ac:dyDescent="0.2">
      <c r="A74">
        <v>5</v>
      </c>
      <c r="B74">
        <v>35</v>
      </c>
      <c r="C74">
        <v>50</v>
      </c>
      <c r="D74">
        <v>151</v>
      </c>
      <c r="E74" s="36">
        <v>21.9</v>
      </c>
      <c r="F74" s="37"/>
      <c r="G74">
        <v>112</v>
      </c>
      <c r="H74">
        <v>60</v>
      </c>
      <c r="I74">
        <v>242</v>
      </c>
      <c r="J74">
        <v>350</v>
      </c>
      <c r="K74">
        <v>129</v>
      </c>
      <c r="L74">
        <v>264</v>
      </c>
      <c r="M74">
        <v>67</v>
      </c>
      <c r="N74">
        <v>55</v>
      </c>
      <c r="O74">
        <v>149</v>
      </c>
      <c r="P74">
        <v>242</v>
      </c>
      <c r="Q74">
        <v>26</v>
      </c>
      <c r="R74">
        <v>53</v>
      </c>
      <c r="S74">
        <v>1</v>
      </c>
    </row>
    <row r="75" spans="1:19" x14ac:dyDescent="0.2">
      <c r="A75">
        <v>126</v>
      </c>
      <c r="B75" s="38">
        <v>29</v>
      </c>
      <c r="C75" s="38">
        <v>66</v>
      </c>
      <c r="D75" s="38">
        <v>147</v>
      </c>
      <c r="E75" s="38">
        <v>30.5</v>
      </c>
      <c r="F75" s="38">
        <v>92</v>
      </c>
      <c r="G75" s="38">
        <v>120</v>
      </c>
      <c r="H75" s="38">
        <v>80</v>
      </c>
      <c r="I75" s="38">
        <v>254</v>
      </c>
      <c r="J75" s="38">
        <v>354</v>
      </c>
      <c r="K75" s="38">
        <v>170</v>
      </c>
      <c r="L75" s="38">
        <v>441</v>
      </c>
      <c r="M75" s="38">
        <v>81</v>
      </c>
      <c r="N75" s="38">
        <v>71</v>
      </c>
      <c r="O75" s="38">
        <v>139</v>
      </c>
      <c r="P75" s="38">
        <v>195</v>
      </c>
      <c r="Q75" s="38"/>
      <c r="R75" s="38">
        <v>88</v>
      </c>
      <c r="S75">
        <v>1</v>
      </c>
    </row>
    <row r="76" spans="1:19" x14ac:dyDescent="0.2">
      <c r="A76">
        <v>19</v>
      </c>
      <c r="B76">
        <v>36</v>
      </c>
      <c r="C76">
        <v>62</v>
      </c>
      <c r="D76">
        <v>155</v>
      </c>
      <c r="E76" s="36">
        <v>25.8</v>
      </c>
      <c r="F76" s="37">
        <v>93</v>
      </c>
      <c r="G76">
        <v>90</v>
      </c>
      <c r="H76">
        <v>60</v>
      </c>
      <c r="I76">
        <v>234</v>
      </c>
      <c r="J76">
        <v>355</v>
      </c>
      <c r="K76">
        <v>240</v>
      </c>
      <c r="L76">
        <v>381</v>
      </c>
      <c r="M76">
        <v>57</v>
      </c>
      <c r="N76">
        <v>62</v>
      </c>
      <c r="O76">
        <v>129</v>
      </c>
      <c r="P76">
        <v>217</v>
      </c>
      <c r="Q76">
        <v>48</v>
      </c>
      <c r="R76">
        <v>76</v>
      </c>
      <c r="S76">
        <v>1</v>
      </c>
    </row>
    <row r="77" spans="1:19" x14ac:dyDescent="0.2">
      <c r="A77">
        <v>49</v>
      </c>
      <c r="B77">
        <v>23</v>
      </c>
      <c r="C77">
        <v>53</v>
      </c>
      <c r="D77">
        <v>167</v>
      </c>
      <c r="E77" s="36">
        <v>19</v>
      </c>
      <c r="F77" s="37">
        <v>72</v>
      </c>
      <c r="G77">
        <v>100</v>
      </c>
      <c r="H77">
        <v>50</v>
      </c>
      <c r="I77">
        <v>184</v>
      </c>
      <c r="J77">
        <v>363</v>
      </c>
      <c r="K77">
        <v>79</v>
      </c>
      <c r="L77">
        <v>174</v>
      </c>
      <c r="M77">
        <v>56</v>
      </c>
      <c r="N77">
        <v>55</v>
      </c>
      <c r="O77">
        <v>112</v>
      </c>
      <c r="P77">
        <v>273</v>
      </c>
      <c r="Q77">
        <v>16</v>
      </c>
      <c r="R77">
        <v>35</v>
      </c>
      <c r="S77">
        <v>1</v>
      </c>
    </row>
    <row r="78" spans="1:19" x14ac:dyDescent="0.2">
      <c r="A78">
        <v>15</v>
      </c>
      <c r="B78">
        <v>18</v>
      </c>
      <c r="C78">
        <v>57</v>
      </c>
      <c r="D78">
        <v>163</v>
      </c>
      <c r="E78" s="36">
        <v>21.4</v>
      </c>
      <c r="F78" s="37">
        <v>61</v>
      </c>
      <c r="G78">
        <v>120</v>
      </c>
      <c r="H78">
        <v>80</v>
      </c>
      <c r="I78">
        <v>199</v>
      </c>
      <c r="J78">
        <v>374</v>
      </c>
      <c r="K78">
        <v>109</v>
      </c>
      <c r="L78">
        <v>257</v>
      </c>
      <c r="M78">
        <v>48</v>
      </c>
      <c r="N78">
        <v>52</v>
      </c>
      <c r="O78">
        <v>128</v>
      </c>
      <c r="P78">
        <v>271</v>
      </c>
      <c r="Q78">
        <v>22</v>
      </c>
      <c r="R78">
        <v>51</v>
      </c>
      <c r="S7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AA708-709F-5E43-BFAF-A6DC51854E5A}">
  <dimension ref="A1:B17"/>
  <sheetViews>
    <sheetView tabSelected="1" topLeftCell="A5" zoomScale="185" zoomScaleNormal="185" workbookViewId="0">
      <selection activeCell="E19" sqref="E19"/>
    </sheetView>
  </sheetViews>
  <sheetFormatPr baseColWidth="10" defaultRowHeight="16" x14ac:dyDescent="0.2"/>
  <sheetData>
    <row r="1" spans="1:2" ht="17" x14ac:dyDescent="0.2">
      <c r="A1" s="39" t="s">
        <v>303</v>
      </c>
      <c r="B1" t="s">
        <v>323</v>
      </c>
    </row>
    <row r="2" spans="1:2" x14ac:dyDescent="0.2">
      <c r="A2" t="s">
        <v>304</v>
      </c>
      <c r="B2" t="s">
        <v>304</v>
      </c>
    </row>
    <row r="3" spans="1:2" x14ac:dyDescent="0.2">
      <c r="A3" t="s">
        <v>305</v>
      </c>
      <c r="B3" t="s">
        <v>305</v>
      </c>
    </row>
    <row r="4" spans="1:2" x14ac:dyDescent="0.2">
      <c r="A4" t="s">
        <v>306</v>
      </c>
      <c r="B4" t="s">
        <v>306</v>
      </c>
    </row>
    <row r="5" spans="1:2" x14ac:dyDescent="0.2">
      <c r="A5" t="s">
        <v>307</v>
      </c>
      <c r="B5" t="s">
        <v>324</v>
      </c>
    </row>
    <row r="6" spans="1:2" x14ac:dyDescent="0.2">
      <c r="A6" t="s">
        <v>308</v>
      </c>
      <c r="B6" t="s">
        <v>308</v>
      </c>
    </row>
    <row r="7" spans="1:2" x14ac:dyDescent="0.2">
      <c r="A7" t="s">
        <v>321</v>
      </c>
      <c r="B7" t="s">
        <v>325</v>
      </c>
    </row>
    <row r="8" spans="1:2" x14ac:dyDescent="0.2">
      <c r="A8" t="s">
        <v>309</v>
      </c>
      <c r="B8" t="s">
        <v>326</v>
      </c>
    </row>
    <row r="9" spans="1:2" x14ac:dyDescent="0.2">
      <c r="A9" t="s">
        <v>310</v>
      </c>
      <c r="B9" t="s">
        <v>327</v>
      </c>
    </row>
    <row r="10" spans="1:2" ht="17" x14ac:dyDescent="0.2">
      <c r="A10" s="39" t="s">
        <v>311</v>
      </c>
      <c r="B10" t="s">
        <v>334</v>
      </c>
    </row>
    <row r="11" spans="1:2" x14ac:dyDescent="0.2">
      <c r="A11" t="s">
        <v>312</v>
      </c>
      <c r="B11" t="s">
        <v>328</v>
      </c>
    </row>
    <row r="12" spans="1:2" x14ac:dyDescent="0.2">
      <c r="A12" t="s">
        <v>313</v>
      </c>
      <c r="B12" t="s">
        <v>333</v>
      </c>
    </row>
    <row r="13" spans="1:2" x14ac:dyDescent="0.2">
      <c r="A13" t="s">
        <v>322</v>
      </c>
      <c r="B13" t="s">
        <v>329</v>
      </c>
    </row>
    <row r="14" spans="1:2" x14ac:dyDescent="0.2">
      <c r="A14" t="s">
        <v>314</v>
      </c>
      <c r="B14" t="s">
        <v>332</v>
      </c>
    </row>
    <row r="15" spans="1:2" x14ac:dyDescent="0.2">
      <c r="A15" t="s">
        <v>315</v>
      </c>
      <c r="B15" t="s">
        <v>330</v>
      </c>
    </row>
    <row r="16" spans="1:2" x14ac:dyDescent="0.2">
      <c r="A16" t="s">
        <v>316</v>
      </c>
      <c r="B16" t="s">
        <v>331</v>
      </c>
    </row>
    <row r="17" spans="1:2" x14ac:dyDescent="0.2">
      <c r="A17" t="s">
        <v>319</v>
      </c>
      <c r="B17" t="s">
        <v>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Apos</vt:lpstr>
      <vt:lpstr>cohorte_and</vt:lpstr>
      <vt:lpstr>cohorte_rs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2023-05-26T19:19:00Z</dcterms:created>
  <dcterms:modified xsi:type="dcterms:W3CDTF">2024-10-03T02:30:06Z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1AFAE66C305247A99A526DD803E24683_12</vt:lpwstr>
  </property>
  <property fmtid="{D5CDD505-2E9C-101B-9397-08002B2CF9AE}" pid="3" name="KSOProductBuildVer">
    <vt:lpwstr>2058-12.2.0.13201</vt:lpwstr>
  </property>
</Properties>
</file>